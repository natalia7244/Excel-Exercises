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7" codeName="{3D1A710C-6663-3D7B-7F91-EC182F24A4BC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Excel_kurs\Excel\"/>
    </mc:Choice>
  </mc:AlternateContent>
  <xr:revisionPtr revIDLastSave="0" documentId="8_{A5CB9FF9-9F4F-4D62-AE99-332D8879E9AF}" xr6:coauthVersionLast="36" xr6:coauthVersionMax="36" xr10:uidLastSave="{00000000-0000-0000-0000-000000000000}"/>
  <bookViews>
    <workbookView xWindow="0" yWindow="0" windowWidth="23040" windowHeight="8772"/>
  </bookViews>
  <sheets>
    <sheet name="Wyzwania" sheetId="1" r:id="rId1"/>
    <sheet name="Dane_FV" sheetId="2" r:id="rId2"/>
    <sheet name="Problem" sheetId="4" r:id="rId3"/>
    <sheet name="Rozwiązanie" sheetId="9" r:id="rId4"/>
    <sheet name="Czas" sheetId="5" r:id="rId5"/>
    <sheet name="Instrukcja" sheetId="6" r:id="rId6"/>
  </sheets>
  <functionGroups builtInGroupCount="19"/>
  <externalReferences>
    <externalReference r:id="rId7"/>
  </externalReferences>
  <definedNames>
    <definedName name="DaneZewnętrzne_1" localSheetId="3" hidden="1">Rozwiązanie!$A$1:$S$8</definedName>
    <definedName name="_xlnm.Print_Area" localSheetId="0">Wyzwania!$A:$P</definedName>
    <definedName name="pensja">[1]Miny!$D$34:$D$37</definedName>
    <definedName name="podatek">[1]Miny!$H$35</definedName>
    <definedName name="_xlnm.Print_Titles" localSheetId="0">Wyzwania!$10:$10</definedName>
    <definedName name="Unikaty">COM.MICROSOFT.UNIQUE(!#REF!)</definedName>
  </definedNames>
  <calcPr calcId="191029"/>
  <pivotCaches>
    <pivotCache cacheId="17" r:id="rId8"/>
  </pivotCaches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2" i="5"/>
  <c r="E3" i="5"/>
  <c r="E4" i="5"/>
  <c r="E5" i="5"/>
  <c r="E6" i="5"/>
  <c r="E7" i="5"/>
  <c r="E8" i="5"/>
  <c r="E9" i="5"/>
  <c r="E10" i="5"/>
  <c r="E2" i="5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2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</calcChain>
</file>

<file path=xl/connections.xml><?xml version="1.0" encoding="utf-8"?>
<connections xmlns="http://schemas.openxmlformats.org/spreadsheetml/2006/main">
  <connection id="1" keepAlive="1" name="Zapytanie — Tabela2" description="Połączenie z zapytaniem „Tabela2” w skoroszycie." type="5" refreshedVersion="6" background="1">
    <dbPr connection="Provider=Microsoft.Mashup.OleDb.1;Data Source=$Workbook$;Location=Tabela2;Extended Properties=&quot;&quot;" command="SELECT * FROM [Tabela2]"/>
  </connection>
  <connection id="2" keepAlive="1" name="Zapytanie — Tabela2 (2)" description="Połączenie z zapytaniem „Tabela2 (2)” w skoroszycie." type="5" refreshedVersion="6" background="1" saveData="1">
    <dbPr connection="Provider=Microsoft.Mashup.OleDb.1;Data Source=$Workbook$;Location=Tabela2 (2);Extended Properties=&quot;&quot;" command="SELECT * FROM [Tabela2 (2)]"/>
  </connection>
</connections>
</file>

<file path=xl/sharedStrings.xml><?xml version="1.0" encoding="utf-8"?>
<sst xmlns="http://schemas.openxmlformats.org/spreadsheetml/2006/main" count="5327" uniqueCount="1198">
  <si>
    <t>Szybkie poszerzanie kolumn i wierszy</t>
  </si>
  <si>
    <t>Usuwanie duplikatów</t>
  </si>
  <si>
    <t>Zmiana kropek na przecinki</t>
  </si>
  <si>
    <t>Zamiana miejscami kolumn</t>
  </si>
  <si>
    <t>Wypełnienie błyskawiczne</t>
  </si>
  <si>
    <t>Dowolna jednostka w Excelu</t>
  </si>
  <si>
    <t>Blokowanie wierszy i kolumn</t>
  </si>
  <si>
    <t>Grupowanie</t>
  </si>
  <si>
    <t>LP</t>
  </si>
  <si>
    <t>Order ID</t>
  </si>
  <si>
    <t>DATA DOSTAWY</t>
  </si>
  <si>
    <t>NAZWA KLIENTA</t>
  </si>
  <si>
    <t>STAN</t>
  </si>
  <si>
    <t>REGION</t>
  </si>
  <si>
    <t>ID PRODUKTU</t>
  </si>
  <si>
    <t>KATEGORIA</t>
  </si>
  <si>
    <t>PODKATEGORIA</t>
  </si>
  <si>
    <t>SPRZEDAŻ</t>
  </si>
  <si>
    <t>SZTUKI</t>
  </si>
  <si>
    <t>ZYSK</t>
  </si>
  <si>
    <t>ŚR CENA SPRZEDAŻY</t>
  </si>
  <si>
    <t>CA-2016-152156</t>
  </si>
  <si>
    <t>Claire Gute</t>
  </si>
  <si>
    <t>Kentucky</t>
  </si>
  <si>
    <t>South</t>
  </si>
  <si>
    <t>FUR-BO-10001798</t>
  </si>
  <si>
    <t>Furniture</t>
  </si>
  <si>
    <t>Bookcases</t>
  </si>
  <si>
    <t>FUR-CH-10000454</t>
  </si>
  <si>
    <t>Chairs</t>
  </si>
  <si>
    <t>CA-2016-138688</t>
  </si>
  <si>
    <t>Darrin Van Huff</t>
  </si>
  <si>
    <t>California</t>
  </si>
  <si>
    <t>West</t>
  </si>
  <si>
    <t>OFF-LA-10000240</t>
  </si>
  <si>
    <t>Office Supplies</t>
  </si>
  <si>
    <t>Labels</t>
  </si>
  <si>
    <t>US-2015-108966</t>
  </si>
  <si>
    <t>Sean O'Donnell</t>
  </si>
  <si>
    <t>Florida</t>
  </si>
  <si>
    <t>FUR-TA-10000577</t>
  </si>
  <si>
    <t>Tables</t>
  </si>
  <si>
    <t>OFF-ST-10000760</t>
  </si>
  <si>
    <t>Storage</t>
  </si>
  <si>
    <t>CA-2014-115812</t>
  </si>
  <si>
    <t>Brosina Hoffman</t>
  </si>
  <si>
    <t>FUR-FU-10001487</t>
  </si>
  <si>
    <t>Furnishings</t>
  </si>
  <si>
    <t>OFF-AR-10002833</t>
  </si>
  <si>
    <t>Art</t>
  </si>
  <si>
    <t>TEC-PH-10002275</t>
  </si>
  <si>
    <t>Technology</t>
  </si>
  <si>
    <t>Phones</t>
  </si>
  <si>
    <t>OFF-BI-10003910</t>
  </si>
  <si>
    <t>Binders</t>
  </si>
  <si>
    <t>OFF-AP-10002892</t>
  </si>
  <si>
    <t>Appliances</t>
  </si>
  <si>
    <t>FUR-TA-10001539</t>
  </si>
  <si>
    <t>TEC-PH-10002033</t>
  </si>
  <si>
    <t>CA-2017-114412</t>
  </si>
  <si>
    <t>Andrew Allen</t>
  </si>
  <si>
    <t>North Carolina</t>
  </si>
  <si>
    <t>OFF-PA-10002365</t>
  </si>
  <si>
    <t>Paper</t>
  </si>
  <si>
    <t>CA-2016-161389</t>
  </si>
  <si>
    <t>Irene Maddox</t>
  </si>
  <si>
    <t>Washington</t>
  </si>
  <si>
    <t>OFF-BI-10003656</t>
  </si>
  <si>
    <t>US-2015-118983</t>
  </si>
  <si>
    <t>Harold Pawlan</t>
  </si>
  <si>
    <t>Texas</t>
  </si>
  <si>
    <t>Central</t>
  </si>
  <si>
    <t>OFF-AP-10002311</t>
  </si>
  <si>
    <t>OFF-BI-10000756</t>
  </si>
  <si>
    <t>CA-2014-105893</t>
  </si>
  <si>
    <t>Pete Kriz</t>
  </si>
  <si>
    <t>Wisconsin</t>
  </si>
  <si>
    <t>OFF-ST-10004186</t>
  </si>
  <si>
    <t>CA-2014-167164</t>
  </si>
  <si>
    <t>Alejandro Grove</t>
  </si>
  <si>
    <t>Utah</t>
  </si>
  <si>
    <t>OFF-ST-10000107</t>
  </si>
  <si>
    <t>CA-2014-143336</t>
  </si>
  <si>
    <t>Zuschuss Donatelli</t>
  </si>
  <si>
    <t>OFF-AR-10003056</t>
  </si>
  <si>
    <t>TEC-PH-10001949</t>
  </si>
  <si>
    <t>OFF-BI-10002215</t>
  </si>
  <si>
    <t>CA-2016-137330</t>
  </si>
  <si>
    <t>Ken Black</t>
  </si>
  <si>
    <t>Nebraska</t>
  </si>
  <si>
    <t>OFF-AR-10000246</t>
  </si>
  <si>
    <t>OFF-AP-10001492</t>
  </si>
  <si>
    <t>US-2017-156909</t>
  </si>
  <si>
    <t>Sandra Flanagan</t>
  </si>
  <si>
    <t>Pennsylvania</t>
  </si>
  <si>
    <t>East</t>
  </si>
  <si>
    <t>FUR-CH-10002774</t>
  </si>
  <si>
    <t>CA-2015-106320</t>
  </si>
  <si>
    <t>Emily Burns</t>
  </si>
  <si>
    <t>CA-2016-121755</t>
  </si>
  <si>
    <t>Eric Hoffmann</t>
  </si>
  <si>
    <t>OFF-BI-10001634</t>
  </si>
  <si>
    <t>TEC-AC-10003027</t>
  </si>
  <si>
    <t>Accessories</t>
  </si>
  <si>
    <t>US-2015-150630</t>
  </si>
  <si>
    <t>Tracy Blumstein</t>
  </si>
  <si>
    <t>FUR-BO-10004834</t>
  </si>
  <si>
    <t>OFF-BI-10000474</t>
  </si>
  <si>
    <t>FUR-FU-10004848</t>
  </si>
  <si>
    <t>OFF-EN-10001509</t>
  </si>
  <si>
    <t>Envelopes</t>
  </si>
  <si>
    <t>OFF-AR-10004042</t>
  </si>
  <si>
    <t>OFF-BI-10001525</t>
  </si>
  <si>
    <t>OFF-AR-10001683</t>
  </si>
  <si>
    <t>CA-2017-107727</t>
  </si>
  <si>
    <t>Matt Abelman</t>
  </si>
  <si>
    <t>OFF-PA-10000249</t>
  </si>
  <si>
    <t>CA-2016-117590</t>
  </si>
  <si>
    <t>Gene Hale</t>
  </si>
  <si>
    <t>TEC-PH-10004977</t>
  </si>
  <si>
    <t>FUR-FU-10003664</t>
  </si>
  <si>
    <t>CA-2015-117415</t>
  </si>
  <si>
    <t>Steve Nguyen</t>
  </si>
  <si>
    <t>OFF-EN-10002986</t>
  </si>
  <si>
    <t>FUR-BO-10002545</t>
  </si>
  <si>
    <t>FUR-CH-10004218</t>
  </si>
  <si>
    <t>TEC-PH-10000486</t>
  </si>
  <si>
    <t>CA-2017-120999</t>
  </si>
  <si>
    <t>Linda Cazamias</t>
  </si>
  <si>
    <t>Illinois</t>
  </si>
  <si>
    <t>TEC-PH-10004093</t>
  </si>
  <si>
    <t>CA-2016-101343</t>
  </si>
  <si>
    <t>Ruben Ausman</t>
  </si>
  <si>
    <t>OFF-ST-10003479</t>
  </si>
  <si>
    <t>CA-2017-139619</t>
  </si>
  <si>
    <t>Erin Smith</t>
  </si>
  <si>
    <t>OFF-ST-10003282</t>
  </si>
  <si>
    <t>CA-2016-118255</t>
  </si>
  <si>
    <t>Odella Nelson</t>
  </si>
  <si>
    <t>Minnesota</t>
  </si>
  <si>
    <t>TEC-AC-10000171</t>
  </si>
  <si>
    <t>OFF-BI-10003291</t>
  </si>
  <si>
    <t>CA-2014-146703</t>
  </si>
  <si>
    <t>Patrick O'Donnell</t>
  </si>
  <si>
    <t>Michigan</t>
  </si>
  <si>
    <t>OFF-ST-10001713</t>
  </si>
  <si>
    <t>CA-2016-169194</t>
  </si>
  <si>
    <t>Lena Hernandez</t>
  </si>
  <si>
    <t>Delaware</t>
  </si>
  <si>
    <t>TEC-AC-10002167</t>
  </si>
  <si>
    <t>15</t>
  </si>
  <si>
    <t>TEC-PH-10003988</t>
  </si>
  <si>
    <t>CA-2015-115742</t>
  </si>
  <si>
    <t>Darren Powers</t>
  </si>
  <si>
    <t>Indiana</t>
  </si>
  <si>
    <t>OFF-BI-10004410</t>
  </si>
  <si>
    <t>OFF-LA-10002762</t>
  </si>
  <si>
    <t>FUR-FU-10001706</t>
  </si>
  <si>
    <t>FUR-CH-10003061</t>
  </si>
  <si>
    <t>CA-2016-105816</t>
  </si>
  <si>
    <t>Janet Molinari</t>
  </si>
  <si>
    <t>New York</t>
  </si>
  <si>
    <t>OFF-FA-10000304</t>
  </si>
  <si>
    <t>Fasteners</t>
  </si>
  <si>
    <t>TEC-PH-10002447</t>
  </si>
  <si>
    <t>CA-2016-111682</t>
  </si>
  <si>
    <t>Ted Butterfield</t>
  </si>
  <si>
    <t>OFF-ST-10000604</t>
  </si>
  <si>
    <t>OFF-PA-10001569</t>
  </si>
  <si>
    <t>FUR-CH-10003968</t>
  </si>
  <si>
    <t>OFF-PA-10000587</t>
  </si>
  <si>
    <t>OFF-BI-10001460</t>
  </si>
  <si>
    <t>OFF-AR-10001868</t>
  </si>
  <si>
    <t>CA-2015-135545</t>
  </si>
  <si>
    <t>Kunst Miller</t>
  </si>
  <si>
    <t>TEC-AC-10004633</t>
  </si>
  <si>
    <t>OFF-BI-10001078</t>
  </si>
  <si>
    <t>OFF-PA-10003892</t>
  </si>
  <si>
    <t>FUR-FU-10000397</t>
  </si>
  <si>
    <t>US-2015-164175</t>
  </si>
  <si>
    <t>Paul Stevenson</t>
  </si>
  <si>
    <t>FUR-CH-10001146</t>
  </si>
  <si>
    <t>CA-2014-106376</t>
  </si>
  <si>
    <t>Brendan Sweed</t>
  </si>
  <si>
    <t>Arizona</t>
  </si>
  <si>
    <t>OFF-AR-10002671</t>
  </si>
  <si>
    <t>TEC-PH-10002726</t>
  </si>
  <si>
    <t>CA-2016-119823</t>
  </si>
  <si>
    <t>Karen Daniels</t>
  </si>
  <si>
    <t>Virginia</t>
  </si>
  <si>
    <t>OFF-PA-10000482</t>
  </si>
  <si>
    <t>CA-2016-106075</t>
  </si>
  <si>
    <t>Henry MacAllister</t>
  </si>
  <si>
    <t>OFF-BI-10004654</t>
  </si>
  <si>
    <t>CA-2017-114440</t>
  </si>
  <si>
    <t>OFF-PA-10004675</t>
  </si>
  <si>
    <t>US-2015-134026</t>
  </si>
  <si>
    <t>Joel Eaton</t>
  </si>
  <si>
    <t>Tennessee</t>
  </si>
  <si>
    <t>FUR-CH-10000513</t>
  </si>
  <si>
    <t>FUR-FU-10003708</t>
  </si>
  <si>
    <t>OFF-ST-10004123</t>
  </si>
  <si>
    <t>US-2017-118038</t>
  </si>
  <si>
    <t>Ken Brennan</t>
  </si>
  <si>
    <t>OFF-BI-10004182</t>
  </si>
  <si>
    <t>FUR-FU-10000260</t>
  </si>
  <si>
    <t>OFF-ST-10000615</t>
  </si>
  <si>
    <t>US-2014-147606</t>
  </si>
  <si>
    <t>FUR-FU-10003194</t>
  </si>
  <si>
    <t>CA-2016-127208</t>
  </si>
  <si>
    <t>Stewart Carmichael</t>
  </si>
  <si>
    <t>Alabama</t>
  </si>
  <si>
    <t>OFF-AP-10002118</t>
  </si>
  <si>
    <t>OFF-BI-10002309</t>
  </si>
  <si>
    <t>CA-2014-139451</t>
  </si>
  <si>
    <t>Duane Noonan</t>
  </si>
  <si>
    <t>OFF-AR-10002053</t>
  </si>
  <si>
    <t>OFF-ST-10002370</t>
  </si>
  <si>
    <t>CA-2015-149734</t>
  </si>
  <si>
    <t>Julie Creighton</t>
  </si>
  <si>
    <t>OFF-EN-10000927</t>
  </si>
  <si>
    <t>US-2017-119662</t>
  </si>
  <si>
    <t>Christopher Schild</t>
  </si>
  <si>
    <t>OFF-ST-10003656</t>
  </si>
  <si>
    <t>CA-2017-140088</t>
  </si>
  <si>
    <t>South Carolina</t>
  </si>
  <si>
    <t>FUR-CH-10000863</t>
  </si>
  <si>
    <t>CA-2017-155558</t>
  </si>
  <si>
    <t>Paul Gonzalez</t>
  </si>
  <si>
    <t>TEC-AC-10001998</t>
  </si>
  <si>
    <t>OFF-LA-10000134</t>
  </si>
  <si>
    <t>CA-2016-159695</t>
  </si>
  <si>
    <t>Gary Mitchum</t>
  </si>
  <si>
    <t>OFF-ST-10003442</t>
  </si>
  <si>
    <t>CA-2016-109806</t>
  </si>
  <si>
    <t>Jim Sink</t>
  </si>
  <si>
    <t>OFF-AR-10004930</t>
  </si>
  <si>
    <t>OFF-PA-10000304</t>
  </si>
  <si>
    <t>CA-2015-149587</t>
  </si>
  <si>
    <t>Karl Braun</t>
  </si>
  <si>
    <t>OFF-PA-10003177</t>
  </si>
  <si>
    <t>FUR-FU-10003799</t>
  </si>
  <si>
    <t>OFF-BI-10002852</t>
  </si>
  <si>
    <t>US-2017-109484</t>
  </si>
  <si>
    <t>Roger Barcio</t>
  </si>
  <si>
    <t>Oregon</t>
  </si>
  <si>
    <t>OFF-BI-10004738</t>
  </si>
  <si>
    <t>CA-2017-161018</t>
  </si>
  <si>
    <t>Parhena Norris</t>
  </si>
  <si>
    <t>FUR-FU-10000629</t>
  </si>
  <si>
    <t>CA-2017-157833</t>
  </si>
  <si>
    <t>Katherine Ducich</t>
  </si>
  <si>
    <t>OFF-BI-10001721</t>
  </si>
  <si>
    <t>CA-2016-149223</t>
  </si>
  <si>
    <t>Elpida Rittenbach</t>
  </si>
  <si>
    <t>OFF-AP-10000358</t>
  </si>
  <si>
    <t>CA-2016-158568</t>
  </si>
  <si>
    <t>Rick Bensley</t>
  </si>
  <si>
    <t>OFF-PA-10003256</t>
  </si>
  <si>
    <t>TEC-AC-10001767</t>
  </si>
  <si>
    <t>OFF-BI-10002609</t>
  </si>
  <si>
    <t>CA-2016-129903</t>
  </si>
  <si>
    <t>Gary Zandusky</t>
  </si>
  <si>
    <t>OFF-PA-10004040</t>
  </si>
  <si>
    <t>US-2015-156867</t>
  </si>
  <si>
    <t>Lena Cacioppo</t>
  </si>
  <si>
    <t>Colorado</t>
  </si>
  <si>
    <t>TEC-AC-10001552</t>
  </si>
  <si>
    <t>FUR-FU-10004006</t>
  </si>
  <si>
    <t>OFF-BI-10002794</t>
  </si>
  <si>
    <t>CA-2017-119004</t>
  </si>
  <si>
    <t>Janet Martin</t>
  </si>
  <si>
    <t>TEC-AC-10003499</t>
  </si>
  <si>
    <t>TEC-PH-10002844</t>
  </si>
  <si>
    <t>OFF-AR-10000390</t>
  </si>
  <si>
    <t>CA-2015-129476</t>
  </si>
  <si>
    <t>Pete Armstrong</t>
  </si>
  <si>
    <t>TEC-AC-10000844</t>
  </si>
  <si>
    <t>CA-2017-146780</t>
  </si>
  <si>
    <t>Cynthia Voltz</t>
  </si>
  <si>
    <t>FUR-FU-10001934</t>
  </si>
  <si>
    <t>CA-2016-128867</t>
  </si>
  <si>
    <t>Clay Ludtke</t>
  </si>
  <si>
    <t>Iowa</t>
  </si>
  <si>
    <t>OFF-AR-10000380</t>
  </si>
  <si>
    <t>OFF-BI-10003981</t>
  </si>
  <si>
    <t>CA-2014-115259</t>
  </si>
  <si>
    <t>Ryan Crowe</t>
  </si>
  <si>
    <t>Ohio</t>
  </si>
  <si>
    <t>OFF-FA-10000621</t>
  </si>
  <si>
    <t>OFF-EN-10002600</t>
  </si>
  <si>
    <t>OFF-PA-10004965</t>
  </si>
  <si>
    <t>OFF-EN-10002504</t>
  </si>
  <si>
    <t>CA-2015-110457</t>
  </si>
  <si>
    <t>Dave Kipp</t>
  </si>
  <si>
    <t>FUR-TA-10001768</t>
  </si>
  <si>
    <t>US-2015-136476</t>
  </si>
  <si>
    <t>Greg Guthrie</t>
  </si>
  <si>
    <t>OFF-BI-10003650</t>
  </si>
  <si>
    <t>CA-2016-103730</t>
  </si>
  <si>
    <t>Steven Cartwright</t>
  </si>
  <si>
    <t>FUR-FU-10002157</t>
  </si>
  <si>
    <t>OFF-ST-10000777</t>
  </si>
  <si>
    <t>OFF-EN-10002500</t>
  </si>
  <si>
    <t>TEC-PH-10003875</t>
  </si>
  <si>
    <t>US-2014-152030</t>
  </si>
  <si>
    <t>Alan Dominguez</t>
  </si>
  <si>
    <t>FUR-CH-10004063</t>
  </si>
  <si>
    <t>US-2014-134614</t>
  </si>
  <si>
    <t>Philip Fox</t>
  </si>
  <si>
    <t>FUR-TA-10004534</t>
  </si>
  <si>
    <t>US-2017-107272</t>
  </si>
  <si>
    <t>Troy Staebel</t>
  </si>
  <si>
    <t>OFF-BI-10003274</t>
  </si>
  <si>
    <t>OFF-ST-10002974</t>
  </si>
  <si>
    <t>US-2016-125969</t>
  </si>
  <si>
    <t>Lindsay Shagiari</t>
  </si>
  <si>
    <t>FUR-FU-10003773</t>
  </si>
  <si>
    <t>US-2017-164147</t>
  </si>
  <si>
    <t>Dorothy Wardle</t>
  </si>
  <si>
    <t>TEC-PH-10002293</t>
  </si>
  <si>
    <t>OFF-PA-10002377</t>
  </si>
  <si>
    <t>OFF-FA-10002780</t>
  </si>
  <si>
    <t>CA-2016-145583</t>
  </si>
  <si>
    <t>Lena Creighton</t>
  </si>
  <si>
    <t>OFF-PA-10001804</t>
  </si>
  <si>
    <t>OFF-PA-10001736</t>
  </si>
  <si>
    <t>OFF-AR-10001149</t>
  </si>
  <si>
    <t>OFF-FA-10002988</t>
  </si>
  <si>
    <t>OFF-BI-10004781</t>
  </si>
  <si>
    <t>OFF-SU-10001218</t>
  </si>
  <si>
    <t>Supplies</t>
  </si>
  <si>
    <t>CA-2016-110366</t>
  </si>
  <si>
    <t>Jonathan Doherty</t>
  </si>
  <si>
    <t>CA-2017-106180</t>
  </si>
  <si>
    <t>Sally Hughsby</t>
  </si>
  <si>
    <t>OFF-AR-10000940</t>
  </si>
  <si>
    <t>OFF-EN-10004030</t>
  </si>
  <si>
    <t>OFF-PA-10004327</t>
  </si>
  <si>
    <t>CA-2017-155376</t>
  </si>
  <si>
    <t>Sandra Glassco</t>
  </si>
  <si>
    <t>Missouri</t>
  </si>
  <si>
    <t>OFF-AP-10001058</t>
  </si>
  <si>
    <t>CA-2015-110744</t>
  </si>
  <si>
    <t>Helen Andreada</t>
  </si>
  <si>
    <t>CA-2014-110072</t>
  </si>
  <si>
    <t>Maureen Gastineau</t>
  </si>
  <si>
    <t>FUR-FU-10000521</t>
  </si>
  <si>
    <t>CA-2016-114489</t>
  </si>
  <si>
    <t>Justin Ellison</t>
  </si>
  <si>
    <t>TEC-PH-10000215</t>
  </si>
  <si>
    <t>TEC-PH-10001448</t>
  </si>
  <si>
    <t>OFF-BI-10002735</t>
  </si>
  <si>
    <t>CA-2016-158834</t>
  </si>
  <si>
    <t>Tamara Willingham</t>
  </si>
  <si>
    <t>OFF-AP-10000326</t>
  </si>
  <si>
    <t>TEC-PH-10001254</t>
  </si>
  <si>
    <t>CA-2015-124919</t>
  </si>
  <si>
    <t>Stephanie Phelps</t>
  </si>
  <si>
    <t>OFF-PA-10001950</t>
  </si>
  <si>
    <t>OFF-PA-10002254</t>
  </si>
  <si>
    <t>OFF-ST-10001590</t>
  </si>
  <si>
    <t>CA-2015-118948</t>
  </si>
  <si>
    <t>Neil Knudson</t>
  </si>
  <si>
    <t>OFF-AR-10001547</t>
  </si>
  <si>
    <t>CA-2014-104269</t>
  </si>
  <si>
    <t>Dave Brooks</t>
  </si>
  <si>
    <t>CA-2016-114104</t>
  </si>
  <si>
    <t>Nora Paige</t>
  </si>
  <si>
    <t>Oklahoma</t>
  </si>
  <si>
    <t>OFF-LA-10002475</t>
  </si>
  <si>
    <t>TEC-PH-10004536</t>
  </si>
  <si>
    <t>CA-2016-162733</t>
  </si>
  <si>
    <t>Ted Trevino</t>
  </si>
  <si>
    <t>OFF-PA-10002751</t>
  </si>
  <si>
    <t>CA-2015-119697</t>
  </si>
  <si>
    <t>Eric Murdock</t>
  </si>
  <si>
    <t>TEC-AC-10003657</t>
  </si>
  <si>
    <t>CA-2016-154508</t>
  </si>
  <si>
    <t>Ruben Dartt</t>
  </si>
  <si>
    <t>New Mexico</t>
  </si>
  <si>
    <t>OFF-EN-10001990</t>
  </si>
  <si>
    <t>CA-2016-113817</t>
  </si>
  <si>
    <t>Max Jones</t>
  </si>
  <si>
    <t>OFF-BI-10004002</t>
  </si>
  <si>
    <t>CA-2014-139892</t>
  </si>
  <si>
    <t>Becky Martin</t>
  </si>
  <si>
    <t>OFF-AR-10004441</t>
  </si>
  <si>
    <t>TEC-MA-10000822</t>
  </si>
  <si>
    <t>Machines</t>
  </si>
  <si>
    <t>OFF-ST-10000991</t>
  </si>
  <si>
    <t>FUR-CH-10004287</t>
  </si>
  <si>
    <t>OFF-AR-10002656</t>
  </si>
  <si>
    <t>OFF-AP-10002518</t>
  </si>
  <si>
    <t>TEC-PH-10003931</t>
  </si>
  <si>
    <t>CA-2014-118962</t>
  </si>
  <si>
    <t>Chad Sievert</t>
  </si>
  <si>
    <t>OFF-PA-10000659</t>
  </si>
  <si>
    <t>OFF-PA-10001144</t>
  </si>
  <si>
    <t>FUR-CH-10003817</t>
  </si>
  <si>
    <t>US-2014-100853</t>
  </si>
  <si>
    <t>Jennifer Braxton</t>
  </si>
  <si>
    <t>OFF-AP-10000891</t>
  </si>
  <si>
    <t>OFF-LA-10003148</t>
  </si>
  <si>
    <t>US-2017-152366</t>
  </si>
  <si>
    <t>Shirley Jackson</t>
  </si>
  <si>
    <t>OFF-AP-10002684</t>
  </si>
  <si>
    <t>US-2015-101511</t>
  </si>
  <si>
    <t>FUR-CH-10004698</t>
  </si>
  <si>
    <t>OFF-SU-10002189</t>
  </si>
  <si>
    <t>CA-2015-137225</t>
  </si>
  <si>
    <t>Jim Kriz</t>
  </si>
  <si>
    <t>OFF-AR-10001940</t>
  </si>
  <si>
    <t>CA-2014-166191</t>
  </si>
  <si>
    <t>David Kendrick</t>
  </si>
  <si>
    <t>OFF-ST-10003455</t>
  </si>
  <si>
    <t>TEC-AC-10004659</t>
  </si>
  <si>
    <t>CA-2014-158274</t>
  </si>
  <si>
    <t>Robert Marley</t>
  </si>
  <si>
    <t>Louisiana</t>
  </si>
  <si>
    <t>TEC-PH-10003273</t>
  </si>
  <si>
    <t>TEC-PH-10004896</t>
  </si>
  <si>
    <t>TEC-AC-10002345</t>
  </si>
  <si>
    <t>CA-2016-105018</t>
  </si>
  <si>
    <t>Sally Knutson</t>
  </si>
  <si>
    <t>Connecticut</t>
  </si>
  <si>
    <t>OFF-BI-10001890</t>
  </si>
  <si>
    <t>CA-2014-123260</t>
  </si>
  <si>
    <t>Frank Merwin</t>
  </si>
  <si>
    <t>TEC-AC-10002323</t>
  </si>
  <si>
    <t>CA-2016-157000</t>
  </si>
  <si>
    <t>Alice McCarthy</t>
  </si>
  <si>
    <t>OFF-ST-10001328</t>
  </si>
  <si>
    <t>CA-2015-102281</t>
  </si>
  <si>
    <t>Mark Packer</t>
  </si>
  <si>
    <t>FUR-BO-10002613</t>
  </si>
  <si>
    <t>TEC-PH-10001552</t>
  </si>
  <si>
    <t>OFF-PA-10000061</t>
  </si>
  <si>
    <t>OFF-AR-10003514</t>
  </si>
  <si>
    <t>CA-2015-131457</t>
  </si>
  <si>
    <t>Mary Zewe</t>
  </si>
  <si>
    <t>CA-2014-140004</t>
  </si>
  <si>
    <t>Cassandra Brandow</t>
  </si>
  <si>
    <t>OFF-AR-10004685</t>
  </si>
  <si>
    <t>OFF-AR-10004027</t>
  </si>
  <si>
    <t>CA-2017-107720</t>
  </si>
  <si>
    <t>Valerie Mitchum</t>
  </si>
  <si>
    <t>New Jersey</t>
  </si>
  <si>
    <t>OFF-ST-10001414</t>
  </si>
  <si>
    <t>US-2017-124303</t>
  </si>
  <si>
    <t>Fred Hopkins</t>
  </si>
  <si>
    <t>OFF-BI-10000343</t>
  </si>
  <si>
    <t>OFF-PA-10002749</t>
  </si>
  <si>
    <t>CA-2017-105074</t>
  </si>
  <si>
    <t>Maria Bertelson</t>
  </si>
  <si>
    <t>OFF-PA-10002666</t>
  </si>
  <si>
    <t>CA-2014-133690</t>
  </si>
  <si>
    <t>Bruce Stewart</t>
  </si>
  <si>
    <t>FUR-TA-10004289</t>
  </si>
  <si>
    <t>OFF-AP-10003622</t>
  </si>
  <si>
    <t>US-2017-116701</t>
  </si>
  <si>
    <t>Logan Currie</t>
  </si>
  <si>
    <t>OFF-AP-10003217</t>
  </si>
  <si>
    <t>CA-2017-126382</t>
  </si>
  <si>
    <t>Heather Kirkland</t>
  </si>
  <si>
    <t>FUR-FU-10002960</t>
  </si>
  <si>
    <t>CA-2017-108329</t>
  </si>
  <si>
    <t>Laurel Elliston</t>
  </si>
  <si>
    <t>TEC-PH-10001918</t>
  </si>
  <si>
    <t>CA-2017-135860</t>
  </si>
  <si>
    <t>Joseph Holt</t>
  </si>
  <si>
    <t>OFF-ST-10000642</t>
  </si>
  <si>
    <t>TEC-PH-10001700</t>
  </si>
  <si>
    <t>OFF-FA-10000134</t>
  </si>
  <si>
    <t>OFF-ST-10001522</t>
  </si>
  <si>
    <t>CA-2015-101007</t>
  </si>
  <si>
    <t>Michael Stewart</t>
  </si>
  <si>
    <t>TEC-AC-10001266</t>
  </si>
  <si>
    <t>CA-2015-146262</t>
  </si>
  <si>
    <t>Victoria Wilson</t>
  </si>
  <si>
    <t>OFF-LA-10004544</t>
  </si>
  <si>
    <t>FUR-BO-10004695</t>
  </si>
  <si>
    <t>TEC-MA-10000864</t>
  </si>
  <si>
    <t>132</t>
  </si>
  <si>
    <t>TEC-AC-10000109</t>
  </si>
  <si>
    <t>CA-2016-130162</t>
  </si>
  <si>
    <t>Jonathan Howell</t>
  </si>
  <si>
    <t>TEC-PH-10002563</t>
  </si>
  <si>
    <t>CA-2015-169397</t>
  </si>
  <si>
    <t>Joni Blumstein</t>
  </si>
  <si>
    <t>OFF-FA-10000585</t>
  </si>
  <si>
    <t>OFF-PA-10004000</t>
  </si>
  <si>
    <t>FUR-FU-10000087</t>
  </si>
  <si>
    <t>TEC-MA-10001148</t>
  </si>
  <si>
    <t>OFF-AR-10001958</t>
  </si>
  <si>
    <t>CA-2015-163055</t>
  </si>
  <si>
    <t>David Smith</t>
  </si>
  <si>
    <t>OFF-AR-10001026</t>
  </si>
  <si>
    <t>FUR-TA-10003748</t>
  </si>
  <si>
    <t>OFF-ST-10002485</t>
  </si>
  <si>
    <t>US-2015-145436</t>
  </si>
  <si>
    <t>Valerie Dominguez</t>
  </si>
  <si>
    <t>FUR-CH-10004860</t>
  </si>
  <si>
    <t>FUR-CH-10004477</t>
  </si>
  <si>
    <t>US-2014-156216</t>
  </si>
  <si>
    <t>Erin Ashbrook</t>
  </si>
  <si>
    <t>OFF-BI-10001679</t>
  </si>
  <si>
    <t>US-2017-100930</t>
  </si>
  <si>
    <t>FUR-TA-10001705</t>
  </si>
  <si>
    <t>FUR-TA-10003473</t>
  </si>
  <si>
    <t>FUR-FU-10004017</t>
  </si>
  <si>
    <t>TEC-AC-10003832</t>
  </si>
  <si>
    <t>CA-2017-160514</t>
  </si>
  <si>
    <t>David Bremer</t>
  </si>
  <si>
    <t>OFF-PA-10002479</t>
  </si>
  <si>
    <t>CA-2016-157749</t>
  </si>
  <si>
    <t>Ken Lonsdale</t>
  </si>
  <si>
    <t>OFF-PA-10003349</t>
  </si>
  <si>
    <t>FUR-FU-10000576</t>
  </si>
  <si>
    <t>FUR-FU-10004351</t>
  </si>
  <si>
    <t>TEC-PH-10000011</t>
  </si>
  <si>
    <t>FUR-TA-10002607</t>
  </si>
  <si>
    <t>FUR-FU-10002505</t>
  </si>
  <si>
    <t>CA-2014-131926</t>
  </si>
  <si>
    <t>Dianna Wilson</t>
  </si>
  <si>
    <t>OFF-ST-10002276</t>
  </si>
  <si>
    <t>OFF-PA-10004082</t>
  </si>
  <si>
    <t>OFF-AP-10002945</t>
  </si>
  <si>
    <t>CA-2016-154739</t>
  </si>
  <si>
    <t>Logan Haushalter</t>
  </si>
  <si>
    <t>FUR-CH-10002965</t>
  </si>
  <si>
    <t>CA-2016-145625</t>
  </si>
  <si>
    <t>Kelly Collister</t>
  </si>
  <si>
    <t>OFF-PA-10004569</t>
  </si>
  <si>
    <t>CA-2016-146941</t>
  </si>
  <si>
    <t>Delfina Latchford</t>
  </si>
  <si>
    <t>OFF-ST-10001228</t>
  </si>
  <si>
    <t>OFF-EN-10003296</t>
  </si>
  <si>
    <t>US-2015-159982</t>
  </si>
  <si>
    <t>Dan Reichenbach</t>
  </si>
  <si>
    <t>OFF-ST-10004804</t>
  </si>
  <si>
    <t>TEC-PH-10001580</t>
  </si>
  <si>
    <t>CA-2017-163139</t>
  </si>
  <si>
    <t>Craig Carreira</t>
  </si>
  <si>
    <t>TEC-AC-10000290</t>
  </si>
  <si>
    <t>OFF-ST-10002790</t>
  </si>
  <si>
    <t>OFF-BI-10003460</t>
  </si>
  <si>
    <t>US-2017-155299</t>
  </si>
  <si>
    <t>Dorris liebe</t>
  </si>
  <si>
    <t>OFF-AP-10002203</t>
  </si>
  <si>
    <t>US-2014-106992</t>
  </si>
  <si>
    <t>Sean Braxton</t>
  </si>
  <si>
    <t>TEC-MA-10003353</t>
  </si>
  <si>
    <t>CA-2016-125318</t>
  </si>
  <si>
    <t>Roy Collins</t>
  </si>
  <si>
    <t>TEC-PH-10001433</t>
  </si>
  <si>
    <t>CA-2015-155040</t>
  </si>
  <si>
    <t>Alan Hwang</t>
  </si>
  <si>
    <t>TEC-AC-10004469</t>
  </si>
  <si>
    <t>CA-2017-136826</t>
  </si>
  <si>
    <t>Claudia Bergmann</t>
  </si>
  <si>
    <t>OFF-AR-10003602</t>
  </si>
  <si>
    <t>CA-2016-111010</t>
  </si>
  <si>
    <t>OFF-FA-10003472</t>
  </si>
  <si>
    <t>US-2017-145366</t>
  </si>
  <si>
    <t>Christine Abelman</t>
  </si>
  <si>
    <t>OFF-ST-10004180</t>
  </si>
  <si>
    <t>OFF-EN-10004386</t>
  </si>
  <si>
    <t>CA-2017-163979</t>
  </si>
  <si>
    <t>Kristen Hastings</t>
  </si>
  <si>
    <t>OFF-ST-10003208</t>
  </si>
  <si>
    <t>CA-2015-155334</t>
  </si>
  <si>
    <t>TEC-AC-10003628</t>
  </si>
  <si>
    <t>FUR-FU-10003274</t>
  </si>
  <si>
    <t>OFF-BI-10002557</t>
  </si>
  <si>
    <t>CA-2017-118136</t>
  </si>
  <si>
    <t>Barry Blumstein</t>
  </si>
  <si>
    <t>OFF-PA-10002615</t>
  </si>
  <si>
    <t>OFF-AR-10001427</t>
  </si>
  <si>
    <t>CA-2017-132976</t>
  </si>
  <si>
    <t>Andrew Gjertsen</t>
  </si>
  <si>
    <t>OFF-PA-10000673</t>
  </si>
  <si>
    <t>OFF-PA-10004470</t>
  </si>
  <si>
    <t>OFF-ST-10000876</t>
  </si>
  <si>
    <t>OFF-LA-10002043</t>
  </si>
  <si>
    <t>US-2015-161991</t>
  </si>
  <si>
    <t>OFF-BI-10004967</t>
  </si>
  <si>
    <t>TEC-PH-10001760</t>
  </si>
  <si>
    <t>CA-2015-130890</t>
  </si>
  <si>
    <t>Jas O'Carroll</t>
  </si>
  <si>
    <t>FUR-TA-10002903</t>
  </si>
  <si>
    <t>CA-2015-130883</t>
  </si>
  <si>
    <t>OFF-PA-10000474</t>
  </si>
  <si>
    <t>TEC-AC-10001956</t>
  </si>
  <si>
    <t>OFF-PA-10004100</t>
  </si>
  <si>
    <t>CA-2016-112697</t>
  </si>
  <si>
    <t>Alan Haines</t>
  </si>
  <si>
    <t>OFF-BI-10000778</t>
  </si>
  <si>
    <t>OFF-SU-10000646</t>
  </si>
  <si>
    <t>CA-2016-110772</t>
  </si>
  <si>
    <t>Nick Zandusky</t>
  </si>
  <si>
    <t>OFF-FA-10002983</t>
  </si>
  <si>
    <t>OFF-LA-10004689</t>
  </si>
  <si>
    <t>TEC-AC-10002001</t>
  </si>
  <si>
    <t>FUR-BO-10004709</t>
  </si>
  <si>
    <t>CA-2014-111451</t>
  </si>
  <si>
    <t>Kelly Lampkin</t>
  </si>
  <si>
    <t>FUR-FU-10004091</t>
  </si>
  <si>
    <t>FUR-CH-10001891</t>
  </si>
  <si>
    <t>FUR-FU-10002918</t>
  </si>
  <si>
    <t>OFF-BI-10004593</t>
  </si>
  <si>
    <t>OFF-FA-10004854</t>
  </si>
  <si>
    <t>CA-2016-142545</t>
  </si>
  <si>
    <t>OFF-PA-10002105</t>
  </si>
  <si>
    <t>OFF-ST-10002756</t>
  </si>
  <si>
    <t>OFF-PA-10004243</t>
  </si>
  <si>
    <t>FUR-FU-10001861</t>
  </si>
  <si>
    <t>OFF-BI-10002706</t>
  </si>
  <si>
    <t>US-2017-152380</t>
  </si>
  <si>
    <t>FUR-TA-10002533</t>
  </si>
  <si>
    <t>CA-2015-144253</t>
  </si>
  <si>
    <t>Alan Schoenberger</t>
  </si>
  <si>
    <t>FUR-FU-10002671</t>
  </si>
  <si>
    <t>CA-2014-130960</t>
  </si>
  <si>
    <t>OFF-AR-10003651</t>
  </si>
  <si>
    <t>CA-2014-111003</t>
  </si>
  <si>
    <t>Corey Roper</t>
  </si>
  <si>
    <t>OFF-BI-10001072</t>
  </si>
  <si>
    <t>OFF-AR-10002135</t>
  </si>
  <si>
    <t>CA-2017-126774</t>
  </si>
  <si>
    <t>Shahid Hopkins</t>
  </si>
  <si>
    <t>OFF-AR-10002804</t>
  </si>
  <si>
    <t>CA-2016-142902</t>
  </si>
  <si>
    <t>Ben Peterman</t>
  </si>
  <si>
    <t>FUR-FU-10001918</t>
  </si>
  <si>
    <t>FUR-CH-10004086</t>
  </si>
  <si>
    <t>FUR-FU-10001756</t>
  </si>
  <si>
    <t>OFF-LA-10000634</t>
  </si>
  <si>
    <t>CA-2014-120887</t>
  </si>
  <si>
    <t>Thomas Seio</t>
  </si>
  <si>
    <t>FUR-FU-10001588</t>
  </si>
  <si>
    <t>CA-2014-167850</t>
  </si>
  <si>
    <t>Andy Gerbode</t>
  </si>
  <si>
    <t>TEC-PH-10002398</t>
  </si>
  <si>
    <t>OFF-PA-10001937</t>
  </si>
  <si>
    <t>CA-2014-164259</t>
  </si>
  <si>
    <t>Sung Pak</t>
  </si>
  <si>
    <t>OFF-AR-10003373</t>
  </si>
  <si>
    <t>CA-2014-164973</t>
  </si>
  <si>
    <t>Nathan Mautz</t>
  </si>
  <si>
    <t>FUR-CH-10002602</t>
  </si>
  <si>
    <t>TEC-MA-10002927</t>
  </si>
  <si>
    <t>TEC-AC-10000892</t>
  </si>
  <si>
    <t>90</t>
  </si>
  <si>
    <t>CA-2014-156601</t>
  </si>
  <si>
    <t>Frank Atkinson</t>
  </si>
  <si>
    <t>OFF-FA-10000624</t>
  </si>
  <si>
    <t>CA-2016-162138</t>
  </si>
  <si>
    <t>Grace Kelly</t>
  </si>
  <si>
    <t>TEC-AC-10001908</t>
  </si>
  <si>
    <t>CA-2017-153339</t>
  </si>
  <si>
    <t>Don Jones</t>
  </si>
  <si>
    <t>FUR-FU-10001967</t>
  </si>
  <si>
    <t>US-2016-141544</t>
  </si>
  <si>
    <t>Patrick O'Brill</t>
  </si>
  <si>
    <t>TEC-PH-10003645</t>
  </si>
  <si>
    <t>OFF-ST-10000675</t>
  </si>
  <si>
    <t>FUR-CH-10003312</t>
  </si>
  <si>
    <t>OFF-LA-10001074</t>
  </si>
  <si>
    <t>OFF-BI-10001524</t>
  </si>
  <si>
    <t>US-2016-150147</t>
  </si>
  <si>
    <t>John Lucas</t>
  </si>
  <si>
    <t>TEC-PH-10004614</t>
  </si>
  <si>
    <t>OFF-BI-10001153</t>
  </si>
  <si>
    <t>OFF-BI-10001982</t>
  </si>
  <si>
    <t>CA-2015-137946</t>
  </si>
  <si>
    <t>Doug Bickford</t>
  </si>
  <si>
    <t>OFF-BI-10001922</t>
  </si>
  <si>
    <t>TEC-CO-10001449</t>
  </si>
  <si>
    <t>Copiers</t>
  </si>
  <si>
    <t>OFF-BI-10004140</t>
  </si>
  <si>
    <t>CA-2014-129924</t>
  </si>
  <si>
    <t>Alyssa Crouse</t>
  </si>
  <si>
    <t>OFF-BI-10003314</t>
  </si>
  <si>
    <t>FUR-TA-10004575</t>
  </si>
  <si>
    <t>CA-2015-128167</t>
  </si>
  <si>
    <t>OFF-FA-10000490</t>
  </si>
  <si>
    <t>CA-2014-122336</t>
  </si>
  <si>
    <t>OFF-AR-10000122</t>
  </si>
  <si>
    <t>TEC-PH-10000702</t>
  </si>
  <si>
    <t>US-2015-120712</t>
  </si>
  <si>
    <t>CA-2017-169901</t>
  </si>
  <si>
    <t>Clay Cheatham</t>
  </si>
  <si>
    <t>CA-2017-134306</t>
  </si>
  <si>
    <t>Tamara Dahlen</t>
  </si>
  <si>
    <t>Massachusetts</t>
  </si>
  <si>
    <t>OFF-AR-10001374</t>
  </si>
  <si>
    <t>CA-2016-129714</t>
  </si>
  <si>
    <t>Adam Bellavance</t>
  </si>
  <si>
    <t>OFF-PA-10001970</t>
  </si>
  <si>
    <t>OFF-BI-10002160</t>
  </si>
  <si>
    <t>OFF-BI-10004995</t>
  </si>
  <si>
    <t>CA-2016-138520</t>
  </si>
  <si>
    <t>Jeremy Lonsdale</t>
  </si>
  <si>
    <t>FUR-BO-10002268</t>
  </si>
  <si>
    <t>OFF-EN-10001137</t>
  </si>
  <si>
    <t>OFF-AR-10002399</t>
  </si>
  <si>
    <t>OFF-PA-10002713</t>
  </si>
  <si>
    <t>CA-2016-130001</t>
  </si>
  <si>
    <t>CA-2017-155698</t>
  </si>
  <si>
    <t>Victoria Brennan</t>
  </si>
  <si>
    <t>Georgia</t>
  </si>
  <si>
    <t>OFF-AP-10001124</t>
  </si>
  <si>
    <t>OFF-LA-10001158</t>
  </si>
  <si>
    <t>CA-2017-144904</t>
  </si>
  <si>
    <t>Katrina Willman</t>
  </si>
  <si>
    <t>FUR-CH-10000785</t>
  </si>
  <si>
    <t>OFF-AR-10003732</t>
  </si>
  <si>
    <t>FUR-FU-10000023</t>
  </si>
  <si>
    <t>CA-2014-123344</t>
  </si>
  <si>
    <t>Julia Dunbar</t>
  </si>
  <si>
    <t>CA-2016-155516</t>
  </si>
  <si>
    <t>Michael Kennedy</t>
  </si>
  <si>
    <t>OFF-BI-10002412</t>
  </si>
  <si>
    <t>OFF-SU-10001225</t>
  </si>
  <si>
    <t>OFF-ST-10002406</t>
  </si>
  <si>
    <t>CA-2017-104745</t>
  </si>
  <si>
    <t>Guy Thornton</t>
  </si>
  <si>
    <t>OFF-PA-10002036</t>
  </si>
  <si>
    <t>OFF-ST-10002205</t>
  </si>
  <si>
    <t>US-2014-119137</t>
  </si>
  <si>
    <t>Arthur Gainer</t>
  </si>
  <si>
    <t>TEC-AC-10003911</t>
  </si>
  <si>
    <t>OFF-AR-10000658</t>
  </si>
  <si>
    <t>TEC-AC-10002076</t>
  </si>
  <si>
    <t>US-2016-134656</t>
  </si>
  <si>
    <t>Muhammed MacIntyre</t>
  </si>
  <si>
    <t>OFF-PA-10003039</t>
  </si>
  <si>
    <t>US-2017-134481</t>
  </si>
  <si>
    <t>Allen Rosenblatt</t>
  </si>
  <si>
    <t>FUR-TA-10004915</t>
  </si>
  <si>
    <t>CA-2015-130792</t>
  </si>
  <si>
    <t>Russell Applegate</t>
  </si>
  <si>
    <t>OFF-AP-10000696</t>
  </si>
  <si>
    <t>OFF-ST-10003327</t>
  </si>
  <si>
    <t>OFF-BI-10000309</t>
  </si>
  <si>
    <t>CA-2016-134775</t>
  </si>
  <si>
    <t>Alejandro Savely</t>
  </si>
  <si>
    <t>OFF-PA-10004734</t>
  </si>
  <si>
    <t>OFF-BI-10002225</t>
  </si>
  <si>
    <t>CA-2015-125395</t>
  </si>
  <si>
    <t>Laura Armstrong</t>
  </si>
  <si>
    <t>TEC-AC-10004708</t>
  </si>
  <si>
    <t>US-2015-168935</t>
  </si>
  <si>
    <t>Denny Ordway</t>
  </si>
  <si>
    <t>FUR-TA-10000617</t>
  </si>
  <si>
    <t>TEC-AC-10002335</t>
  </si>
  <si>
    <t>CA-2015-122756</t>
  </si>
  <si>
    <t>Dean Katz</t>
  </si>
  <si>
    <t>TEC-MA-10001681</t>
  </si>
  <si>
    <t>FUR-FU-10001935</t>
  </si>
  <si>
    <t>CA-2014-115973</t>
  </si>
  <si>
    <t>Nathan Gelder</t>
  </si>
  <si>
    <t>OFF-AR-10004757</t>
  </si>
  <si>
    <t>CA-2017-101798</t>
  </si>
  <si>
    <t>Mike Vittorini</t>
  </si>
  <si>
    <t>OFF-BI-10000050</t>
  </si>
  <si>
    <t>US-2014-135972</t>
  </si>
  <si>
    <t>Jack Garza</t>
  </si>
  <si>
    <t>TEC-PH-10003012</t>
  </si>
  <si>
    <t>TEC-CO-10002313</t>
  </si>
  <si>
    <t>US-2014-134971</t>
  </si>
  <si>
    <t>Bart Pistole</t>
  </si>
  <si>
    <t>OFF-BI-10003982</t>
  </si>
  <si>
    <t>CA-2017-102946</t>
  </si>
  <si>
    <t>Victor Preis</t>
  </si>
  <si>
    <t>Nevada</t>
  </si>
  <si>
    <t>OFF-BI-10004492</t>
  </si>
  <si>
    <t>CA-2017-165603</t>
  </si>
  <si>
    <t>Saphhira Shifley</t>
  </si>
  <si>
    <t>Rhode Island</t>
  </si>
  <si>
    <t>OFF-ST-10000798</t>
  </si>
  <si>
    <t>OFF-PA-10002552</t>
  </si>
  <si>
    <t>CA-2015-122259</t>
  </si>
  <si>
    <t>OFF-SU-10002573</t>
  </si>
  <si>
    <t>CA-2016-108987</t>
  </si>
  <si>
    <t>Anna Gayman</t>
  </si>
  <si>
    <t>OFF-ST-10001580</t>
  </si>
  <si>
    <t>OFF-ST-10000934</t>
  </si>
  <si>
    <t>TEC-AC-10000158</t>
  </si>
  <si>
    <t>CA-2014-113166</t>
  </si>
  <si>
    <t>Luke Foster</t>
  </si>
  <si>
    <t>OFF-PA-10001947</t>
  </si>
  <si>
    <t>CA-2014-155208</t>
  </si>
  <si>
    <t>OFF-AR-10003478</t>
  </si>
  <si>
    <t>CA-2017-117933</t>
  </si>
  <si>
    <t>Roy Französisch</t>
  </si>
  <si>
    <t>OFF-AP-10004249</t>
  </si>
  <si>
    <t>CA-2017-117457</t>
  </si>
  <si>
    <t>Keith Herrera</t>
  </si>
  <si>
    <t>TEC-CO-10004115</t>
  </si>
  <si>
    <t>OFF-PA-10003724</t>
  </si>
  <si>
    <t>FUR-TA-10002041</t>
  </si>
  <si>
    <t>OFF-PA-10002893</t>
  </si>
  <si>
    <t>OFF-LA-10003766</t>
  </si>
  <si>
    <t>FUR-BO-10001972</t>
  </si>
  <si>
    <t>FUR-CH-10003956</t>
  </si>
  <si>
    <t>CA-2017-142636</t>
  </si>
  <si>
    <t>Kimberly Carter</t>
  </si>
  <si>
    <t>OFF-PA-10000157</t>
  </si>
  <si>
    <t>CA-2017-122105</t>
  </si>
  <si>
    <t>Caroline Jumper</t>
  </si>
  <si>
    <t>OFF-AR-10004344</t>
  </si>
  <si>
    <t>CA-2016-148796</t>
  </si>
  <si>
    <t>Philip Brown</t>
  </si>
  <si>
    <t>FUR-CH-10004886</t>
  </si>
  <si>
    <t>CA-2017-154816</t>
  </si>
  <si>
    <t>OFF-PA-10003845</t>
  </si>
  <si>
    <t>CA-2017-110478</t>
  </si>
  <si>
    <t>OFF-AR-10001573</t>
  </si>
  <si>
    <t>OFF-EN-10000483</t>
  </si>
  <si>
    <t>CA-2014-142048</t>
  </si>
  <si>
    <t>TEC-AC-10004114</t>
  </si>
  <si>
    <t>CA-2017-125388</t>
  </si>
  <si>
    <t>Michael Paige</t>
  </si>
  <si>
    <t>FUR-FU-10004712</t>
  </si>
  <si>
    <t>OFF-ST-10000918</t>
  </si>
  <si>
    <t>CA-2017-155705</t>
  </si>
  <si>
    <t>Natalie Fritzler</t>
  </si>
  <si>
    <t>Mississippi</t>
  </si>
  <si>
    <t>FUR-CH-10000015</t>
  </si>
  <si>
    <t>CA-2017-149160</t>
  </si>
  <si>
    <t>FUR-FU-10003347</t>
  </si>
  <si>
    <t>OFF-BI-10001543</t>
  </si>
  <si>
    <t>CA-2014-101476</t>
  </si>
  <si>
    <t>Shirley Daniels</t>
  </si>
  <si>
    <t>TEC-MA-10000029</t>
  </si>
  <si>
    <t>CA-2017-152275</t>
  </si>
  <si>
    <t>Ken Heidel</t>
  </si>
  <si>
    <t>OFF-AR-10000369</t>
  </si>
  <si>
    <t>US-2016-123750</t>
  </si>
  <si>
    <t>Ross Baird</t>
  </si>
  <si>
    <t>OFF-BI-10004584</t>
  </si>
  <si>
    <t>OFF-ST-10000617</t>
  </si>
  <si>
    <t>CA-2016-127369</t>
  </si>
  <si>
    <t>OFF-ST-10003306</t>
  </si>
  <si>
    <t>US-2014-150574</t>
  </si>
  <si>
    <t>Mike Kennedy</t>
  </si>
  <si>
    <t>OFF-BI-10000773</t>
  </si>
  <si>
    <t>TEC-AC-10002600</t>
  </si>
  <si>
    <t>CA-2016-147375</t>
  </si>
  <si>
    <t>Philisse Overcash</t>
  </si>
  <si>
    <t>TEC-MA-10002937</t>
  </si>
  <si>
    <t>CA-2017-130043</t>
  </si>
  <si>
    <t>Brenda Bowman</t>
  </si>
  <si>
    <t>OFF-PA-10002230</t>
  </si>
  <si>
    <t>CA-2017-157252</t>
  </si>
  <si>
    <t>FUR-CH-10003396</t>
  </si>
  <si>
    <t>CA-2016-115756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</si>
  <si>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</si>
  <si>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</si>
  <si>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</si>
  <si>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</si>
  <si>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</si>
  <si>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</si>
  <si>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CA-2017-154214</t>
  </si>
  <si>
    <t>Troy Blackwell</t>
  </si>
  <si>
    <t>FUR-FU-10000206</t>
  </si>
  <si>
    <t>CA-2016-166674</t>
  </si>
  <si>
    <t>Raymond Buch</t>
  </si>
  <si>
    <t>OFF-AR-10000588</t>
  </si>
  <si>
    <t>OFF-ST-10001469</t>
  </si>
  <si>
    <t>OFF-AR-10001953</t>
  </si>
  <si>
    <t>OFF-AR-10003156</t>
  </si>
  <si>
    <t>OFF-AR-10004974</t>
  </si>
  <si>
    <t>TEC-PH-10002365</t>
  </si>
  <si>
    <t>CA-2017-147277</t>
  </si>
  <si>
    <t>Ed Braxton</t>
  </si>
  <si>
    <t>OFF-ST-10000142</t>
  </si>
  <si>
    <t>CA-2016-100153</t>
  </si>
  <si>
    <t>TEC-AC-10001772</t>
  </si>
  <si>
    <t>US-2014-110674</t>
  </si>
  <si>
    <t>Sanjit Chand</t>
  </si>
  <si>
    <t>FUR-CH-10000225</t>
  </si>
  <si>
    <t>US-2016-157945</t>
  </si>
  <si>
    <t>FUR-CH-10002331</t>
  </si>
  <si>
    <t>OFF-EN-10001415</t>
  </si>
  <si>
    <t>CA-2015-109638</t>
  </si>
  <si>
    <t>OFF-AP-10002472</t>
  </si>
  <si>
    <t>TEC-AC-10004571</t>
  </si>
  <si>
    <t>OFF-BI-10001098</t>
  </si>
  <si>
    <t>CA-2016-109869</t>
  </si>
  <si>
    <t>Tanja Norvell</t>
  </si>
  <si>
    <t>FUR-TA-10001889</t>
  </si>
  <si>
    <t>OFF-BI-10000315</t>
  </si>
  <si>
    <t>OFF-SU-10003505</t>
  </si>
  <si>
    <t>OFF-AP-10002578</t>
  </si>
  <si>
    <t>US-2015-101399</t>
  </si>
  <si>
    <t>Joni Sundaresam</t>
  </si>
  <si>
    <t>CA-2017-154907</t>
  </si>
  <si>
    <t>FUR-BO-10002824</t>
  </si>
  <si>
    <t>US-2016-100419</t>
  </si>
  <si>
    <t>OFF-BI-10002194</t>
  </si>
  <si>
    <t>CA-2015-154144</t>
  </si>
  <si>
    <t>Maya Herman</t>
  </si>
  <si>
    <t>OFF-PA-10004071</t>
  </si>
  <si>
    <t>CA-2014-144666</t>
  </si>
  <si>
    <t>Jeremy Pistek</t>
  </si>
  <si>
    <t>OFF-ST-10002743</t>
  </si>
  <si>
    <t>FUR-BO-10001601</t>
  </si>
  <si>
    <t>TEC-PH-10002680</t>
  </si>
  <si>
    <t>OFF-ST-10001321</t>
  </si>
  <si>
    <t>OFF-PA-10001509</t>
  </si>
  <si>
    <t>OFF-PA-10003465</t>
  </si>
  <si>
    <t>CA-2016-103891</t>
  </si>
  <si>
    <t>TEC-PH-10000149</t>
  </si>
  <si>
    <t>CA-2016-152632</t>
  </si>
  <si>
    <t>Jeremy Ellison</t>
  </si>
  <si>
    <t>CA-2016-100790</t>
  </si>
  <si>
    <t>John Grady</t>
  </si>
  <si>
    <t>OFF-AR-10003045</t>
  </si>
  <si>
    <t>OFF-ST-10000689</t>
  </si>
  <si>
    <t>CA-2014-134677</t>
  </si>
  <si>
    <t>Xylona Preis</t>
  </si>
  <si>
    <t>TEC-AC-10001445</t>
  </si>
  <si>
    <t>CA-2014-127691</t>
  </si>
  <si>
    <t>Erin Mull</t>
  </si>
  <si>
    <t>TEC-AC-10002567</t>
  </si>
  <si>
    <t>CA-2017-140963</t>
  </si>
  <si>
    <t>Michelle Tran</t>
  </si>
  <si>
    <t>OFF-LA-10003923</t>
  </si>
  <si>
    <t>FUR-BO-10001337</t>
  </si>
  <si>
    <t>TEC-PH-10001924</t>
  </si>
  <si>
    <t>CA-2014-154627</t>
  </si>
  <si>
    <t>Sue Ann Reed</t>
  </si>
  <si>
    <t>TEC-PH-10001363</t>
  </si>
  <si>
    <t>CA-2014-133753</t>
  </si>
  <si>
    <t>Carl Weiss</t>
  </si>
  <si>
    <t>TEC-PH-10000376</t>
  </si>
  <si>
    <t>TEC-AC-10000303</t>
  </si>
  <si>
    <t>CA-2014-113362</t>
  </si>
  <si>
    <t>Astrea Jones</t>
  </si>
  <si>
    <t>OFF-ST-10001809</t>
  </si>
  <si>
    <t>OFF-EN-10003845</t>
  </si>
  <si>
    <t>CA-2016-169166</t>
  </si>
  <si>
    <t>Sonia Sunley</t>
  </si>
  <si>
    <t>TEC-AC-10000991</t>
  </si>
  <si>
    <t>US-2016-120929</t>
  </si>
  <si>
    <t>Rose O'Brian</t>
  </si>
  <si>
    <t>FUR-TA-10001857</t>
  </si>
  <si>
    <t>CA-2015-134782</t>
  </si>
  <si>
    <t>Maribeth Dona</t>
  </si>
  <si>
    <t>Arkansas</t>
  </si>
  <si>
    <t>OFF-EN-10001434</t>
  </si>
  <si>
    <t>CA-2016-126158</t>
  </si>
  <si>
    <t>OFF-BI-10002498</t>
  </si>
  <si>
    <t>FUR-FU-10004864</t>
  </si>
  <si>
    <t>FUR-FU-10000073</t>
  </si>
  <si>
    <t>NR TRANSAKCJI</t>
  </si>
  <si>
    <t>ID ZAMÓWIENIA</t>
  </si>
  <si>
    <t>IMIĘ</t>
  </si>
  <si>
    <t>NAZWISKO</t>
  </si>
  <si>
    <t>FIRMA</t>
  </si>
  <si>
    <t>NIP</t>
  </si>
  <si>
    <t>NETTO</t>
  </si>
  <si>
    <t>STAWKA VAT</t>
  </si>
  <si>
    <t>VAT</t>
  </si>
  <si>
    <t>BRUTTO</t>
  </si>
  <si>
    <t>FAKTURA</t>
  </si>
  <si>
    <t>DATA WYSTAWIENIA FAKTURY</t>
  </si>
  <si>
    <t>TERMIN PŁATNOŚCI</t>
  </si>
  <si>
    <t>DATA PŁATNOŚCI</t>
  </si>
  <si>
    <t>CA-152156</t>
  </si>
  <si>
    <t>Barbara</t>
  </si>
  <si>
    <t>Ostrowska</t>
  </si>
  <si>
    <t>Stickgenics</t>
  </si>
  <si>
    <t>1/2025</t>
  </si>
  <si>
    <t>CA-138688</t>
  </si>
  <si>
    <t>Katarzyna</t>
  </si>
  <si>
    <t>Pacuła</t>
  </si>
  <si>
    <t>Cafe Góra Miodu</t>
  </si>
  <si>
    <t>2/2025</t>
  </si>
  <si>
    <t>US-108966</t>
  </si>
  <si>
    <t>Robert</t>
  </si>
  <si>
    <t>Reszczyński</t>
  </si>
  <si>
    <t>AVF Technika</t>
  </si>
  <si>
    <t>3/2025</t>
  </si>
  <si>
    <t>CA-115812</t>
  </si>
  <si>
    <t>Węgier</t>
  </si>
  <si>
    <t>BBBS Spółka z o.o.</t>
  </si>
  <si>
    <t>4/2025</t>
  </si>
  <si>
    <t>CA-114412</t>
  </si>
  <si>
    <t>Wojciech</t>
  </si>
  <si>
    <t>Grzeszczak</t>
  </si>
  <si>
    <t>AMP Group Spółka z o.o.</t>
  </si>
  <si>
    <t>5/2025</t>
  </si>
  <si>
    <t>CA-161389</t>
  </si>
  <si>
    <t>Janiszewska</t>
  </si>
  <si>
    <t>Polomedika Spółka z o.o.</t>
  </si>
  <si>
    <t>6/2025</t>
  </si>
  <si>
    <t>US-118983</t>
  </si>
  <si>
    <t>Piotr</t>
  </si>
  <si>
    <t>Beneka</t>
  </si>
  <si>
    <t>Angora Spólka Komandytowa</t>
  </si>
  <si>
    <t>7/2025</t>
  </si>
  <si>
    <t>CA-105893</t>
  </si>
  <si>
    <t>Mieczysława</t>
  </si>
  <si>
    <t>Szelest</t>
  </si>
  <si>
    <t>Tergero Polska Sp. z o.o.</t>
  </si>
  <si>
    <t>8/2025</t>
  </si>
  <si>
    <t>CA-167164</t>
  </si>
  <si>
    <t>Lesław</t>
  </si>
  <si>
    <t>Chojnacki</t>
  </si>
  <si>
    <t>Crosaira Media</t>
  </si>
  <si>
    <t>9/2025</t>
  </si>
  <si>
    <t>CA-143336</t>
  </si>
  <si>
    <t>Wanda</t>
  </si>
  <si>
    <t>Mianowska</t>
  </si>
  <si>
    <t>Best of Emp</t>
  </si>
  <si>
    <t>10/2025</t>
  </si>
  <si>
    <t>CA-137330</t>
  </si>
  <si>
    <t>Izabela</t>
  </si>
  <si>
    <t>Feler</t>
  </si>
  <si>
    <t>exWWW Sp. z o.o.</t>
  </si>
  <si>
    <t>11/2025</t>
  </si>
  <si>
    <t>US-156909</t>
  </si>
  <si>
    <t>Jasińska</t>
  </si>
  <si>
    <t>Obelisk Head</t>
  </si>
  <si>
    <t>12/2025</t>
  </si>
  <si>
    <t>CA-106320</t>
  </si>
  <si>
    <t>Monika</t>
  </si>
  <si>
    <t>Ciechowska</t>
  </si>
  <si>
    <t>Wtf Company</t>
  </si>
  <si>
    <t>13/2025</t>
  </si>
  <si>
    <t>CA-121755</t>
  </si>
  <si>
    <t>Grażyna</t>
  </si>
  <si>
    <t>Mikołajczyk</t>
  </si>
  <si>
    <t>Stick Fortune</t>
  </si>
  <si>
    <t>14/2025</t>
  </si>
  <si>
    <t>US-150630</t>
  </si>
  <si>
    <t>Daniel</t>
  </si>
  <si>
    <t>Siedlecki</t>
  </si>
  <si>
    <t>PMM Wisła</t>
  </si>
  <si>
    <t>15/2025</t>
  </si>
  <si>
    <t>CA-107727</t>
  </si>
  <si>
    <t>Aneta</t>
  </si>
  <si>
    <t>Wolej</t>
  </si>
  <si>
    <t>Akord Technica Sp. z o.o.</t>
  </si>
  <si>
    <t>16/2025</t>
  </si>
  <si>
    <t>CA-117590</t>
  </si>
  <si>
    <t>Karolina</t>
  </si>
  <si>
    <t>Zach</t>
  </si>
  <si>
    <t>X-Health Sp. z o.o.</t>
  </si>
  <si>
    <t>17/2025</t>
  </si>
  <si>
    <t>CA-117415</t>
  </si>
  <si>
    <t>Patrycja</t>
  </si>
  <si>
    <t>Barcisz</t>
  </si>
  <si>
    <t>PC-Laboratorium</t>
  </si>
  <si>
    <t>18/2025</t>
  </si>
  <si>
    <t>CA-120999</t>
  </si>
  <si>
    <t>Ewelina</t>
  </si>
  <si>
    <t>Miejska</t>
  </si>
  <si>
    <t>Rentimeter Sp. z o.o.</t>
  </si>
  <si>
    <t>19/2025</t>
  </si>
  <si>
    <t>CA-101343</t>
  </si>
  <si>
    <t>Zofia</t>
  </si>
  <si>
    <t>Szafrańska</t>
  </si>
  <si>
    <t>Mich-media</t>
  </si>
  <si>
    <t>20/2025</t>
  </si>
  <si>
    <t>CA-139619</t>
  </si>
  <si>
    <t>Juliusz</t>
  </si>
  <si>
    <t>Dziwulski</t>
  </si>
  <si>
    <t>Nanocare Sp. z o.o.</t>
  </si>
  <si>
    <t>21/2025</t>
  </si>
  <si>
    <t>CA-118255</t>
  </si>
  <si>
    <t>Dudek</t>
  </si>
  <si>
    <t>Dodek-pol</t>
  </si>
  <si>
    <t>22/2025</t>
  </si>
  <si>
    <t>CA-146703</t>
  </si>
  <si>
    <t>Benedykt</t>
  </si>
  <si>
    <t>Hardy</t>
  </si>
  <si>
    <t>Hardy&amp;Hardy</t>
  </si>
  <si>
    <t>23/2025</t>
  </si>
  <si>
    <t>CA-169194</t>
  </si>
  <si>
    <t>Dariusz</t>
  </si>
  <si>
    <t>Pieńkowski</t>
  </si>
  <si>
    <t>Piensko-pol</t>
  </si>
  <si>
    <t>24/2025</t>
  </si>
  <si>
    <t>CA-115742</t>
  </si>
  <si>
    <t>Stanisław</t>
  </si>
  <si>
    <t>Lechowicz</t>
  </si>
  <si>
    <t>Lechow bis</t>
  </si>
  <si>
    <t>25/2025</t>
  </si>
  <si>
    <t>CA-105816</t>
  </si>
  <si>
    <t>Janina</t>
  </si>
  <si>
    <t>Mediacore Sp. z o.o.</t>
  </si>
  <si>
    <t>26/2025</t>
  </si>
  <si>
    <t>CA-111682</t>
  </si>
  <si>
    <t>Romuald</t>
  </si>
  <si>
    <t>Zambrowicz</t>
  </si>
  <si>
    <t>Colorouce</t>
  </si>
  <si>
    <t>27/2025</t>
  </si>
  <si>
    <t>CA-135545</t>
  </si>
  <si>
    <t>Olgierd</t>
  </si>
  <si>
    <t>Rosiewicz</t>
  </si>
  <si>
    <t>Plairbrush</t>
  </si>
  <si>
    <t>28/2025</t>
  </si>
  <si>
    <t>US-164175</t>
  </si>
  <si>
    <t>Mikołaj</t>
  </si>
  <si>
    <t>Siennicki</t>
  </si>
  <si>
    <t>Scrayons Sp. z o.o.</t>
  </si>
  <si>
    <t>29/2025</t>
  </si>
  <si>
    <t>CA-106376</t>
  </si>
  <si>
    <t>Gorzegorz</t>
  </si>
  <si>
    <t>Anioł</t>
  </si>
  <si>
    <t>Pencilsite</t>
  </si>
  <si>
    <t>30/2025</t>
  </si>
  <si>
    <t>CA-119823</t>
  </si>
  <si>
    <t>Janusz</t>
  </si>
  <si>
    <t>Lichwiarz</t>
  </si>
  <si>
    <t>Coloroues</t>
  </si>
  <si>
    <t>31/2025</t>
  </si>
  <si>
    <t>CA-106075</t>
  </si>
  <si>
    <t>Jerzy</t>
  </si>
  <si>
    <t>Boroński</t>
  </si>
  <si>
    <t>Typeflip Sp. z o.o.</t>
  </si>
  <si>
    <t>32/2025</t>
  </si>
  <si>
    <t>CA-114440</t>
  </si>
  <si>
    <t>Elwira</t>
  </si>
  <si>
    <t>Sękocińska</t>
  </si>
  <si>
    <t>Stickistic</t>
  </si>
  <si>
    <t>33/2025</t>
  </si>
  <si>
    <t>Firma</t>
  </si>
  <si>
    <t>Adresat</t>
  </si>
  <si>
    <t>Firma 1</t>
  </si>
  <si>
    <t>Adresat 1</t>
  </si>
  <si>
    <t>Firma 2</t>
  </si>
  <si>
    <t>Adresat 4</t>
  </si>
  <si>
    <t>Firma 3</t>
  </si>
  <si>
    <t>Adresat 3</t>
  </si>
  <si>
    <t>Firma 4</t>
  </si>
  <si>
    <t>Firma 5</t>
  </si>
  <si>
    <t>Adresat 2</t>
  </si>
  <si>
    <t>Firma 6</t>
  </si>
  <si>
    <t>Firma 7</t>
  </si>
  <si>
    <t>Pracownik</t>
  </si>
  <si>
    <t>Start</t>
  </si>
  <si>
    <t>Koniec</t>
  </si>
  <si>
    <t>Stawka</t>
  </si>
  <si>
    <t>Czas pracy</t>
  </si>
  <si>
    <t>Do wypłaty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</si>
  <si>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</si>
  <si>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</si>
  <si>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</si>
  <si>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</si>
  <si>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</si>
  <si>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</si>
  <si>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</si>
  <si>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</si>
  <si>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</si>
  <si>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ID</t>
  </si>
  <si>
    <t>LEWY SHIFT + E</t>
  </si>
  <si>
    <t>CTRL + SHIFT + Strzałka DÓŁ; CRTL + H</t>
  </si>
  <si>
    <t>Zaznacz kolumnę + LEWY SHIFT + krawędź kolumny</t>
  </si>
  <si>
    <t>Lewy górny róg + dowolna krawędź górna kolumny</t>
  </si>
  <si>
    <t>Lewy -&gt; zmien format -&gt; liczby -&gt;niestandardowe</t>
  </si>
  <si>
    <t>DANE + Grupuj + zaznacz kolumny</t>
  </si>
  <si>
    <t>Widok + zablokuj/odblokuj okienka</t>
  </si>
  <si>
    <t>Dane + usuń duplikaty</t>
  </si>
  <si>
    <t>Miesiąc</t>
  </si>
  <si>
    <t>Rok</t>
  </si>
  <si>
    <t>Status płatności</t>
  </si>
  <si>
    <t>Etykiety wierszy</t>
  </si>
  <si>
    <t>Suma końcowa</t>
  </si>
  <si>
    <t>Etykiety kolumn</t>
  </si>
  <si>
    <t>Bez daty płatności</t>
  </si>
  <si>
    <t>Z datą płatności</t>
  </si>
  <si>
    <t>Razem: Liczba z NR TRANSAKCJI</t>
  </si>
  <si>
    <t>Liczba z NR TRANSAKCJI</t>
  </si>
  <si>
    <t>Razem: KWOTA</t>
  </si>
  <si>
    <t>KWOTA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</si>
  <si>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</si>
  <si>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</si>
  <si>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</si>
  <si>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</si>
  <si>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</si>
  <si>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</si>
  <si>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</si>
  <si>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</si>
  <si>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</si>
  <si>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</si>
  <si>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</si>
  <si>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</si>
  <si>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</si>
  <si>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</si>
  <si>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16</t>
  </si>
  <si>
    <t>17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</si>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</sst>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h&quot;:&quot;mm"/>
    <numFmt numFmtId="165" formatCode="#,##0&quot; &quot;[$zł];[Red]&quot;-&quot;#,##0&quot; &quot;[$zł]"/>
    <numFmt numFmtId="166" formatCode="#,##0&quot; &quot;[$zł]"/>
    <numFmt numFmtId="167" formatCode="dd&quot;.&quot;mmm&quot;.&quot;yy"/>
    <numFmt numFmtId="168" formatCode="dd&quot;.&quot;mm&quot;.&quot;yyyy"/>
    <numFmt numFmtId="171" formatCode="0.0&quot; kg&quot;"/>
  </numFmts>
  <fonts count="7">
    <font>
      <sz val="11"/>
      <color rgb="FF000000"/>
      <name val="Aptos Narrow"/>
      <charset val="238"/>
    </font>
    <font>
      <sz val="11"/>
      <color rgb="FF000000"/>
      <name val="Aptos Narrow"/>
      <charset val="238"/>
    </font>
    <font>
      <sz val="11"/>
      <color rgb="FFFFFFFF"/>
      <name val="Aptos Narrow"/>
      <charset val="238"/>
    </font>
    <font>
      <sz val="8"/>
      <color rgb="FF000000"/>
      <name val="Aptos Narrow"/>
      <charset val="238"/>
    </font>
    <font>
      <sz val="8"/>
      <color rgb="FFFFFFFF"/>
      <name val="Aptos Narrow"/>
      <charset val="238"/>
    </font>
    <font>
      <sz val="9"/>
      <color rgb="FFFFFFFF"/>
      <name val="Aptos Narrow"/>
      <charset val="238"/>
    </font>
    <font>
      <sz val="10"/>
      <color rgb="FF000000"/>
      <name val="Aptos Narrow"/>
      <charset val="238"/>
    </font>
  </fonts>
  <fills count="4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  <fill>
      <patternFill patternType="solid">
        <fgColor rgb="FF004E42"/>
        <bgColor rgb="FF004E42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3" fillId="0" borderId="0" applyNumberFormat="0" applyBorder="0" applyProtection="0"/>
    <xf numFmtId="0" fontId="1" fillId="0" borderId="0" applyNumberFormat="0" applyFont="0" applyBorder="0" applyProtection="0"/>
  </cellStyleXfs>
  <cellXfs count="44">
    <xf numFmtId="0" fontId="0" fillId="0" borderId="0" xfId="0"/>
    <xf numFmtId="0" fontId="3" fillId="0" borderId="0" xfId="4" applyFont="1" applyFill="1" applyAlignment="1" applyProtection="1"/>
    <xf numFmtId="0" fontId="4" fillId="3" borderId="0" xfId="4" applyFont="1" applyFill="1" applyAlignment="1" applyProtection="1"/>
    <xf numFmtId="167" fontId="3" fillId="3" borderId="0" xfId="4" applyNumberFormat="1" applyFont="1" applyFill="1" applyAlignment="1" applyProtection="1"/>
    <xf numFmtId="0" fontId="3" fillId="3" borderId="0" xfId="4" applyFont="1" applyFill="1" applyAlignment="1" applyProtection="1"/>
    <xf numFmtId="2" fontId="3" fillId="0" borderId="0" xfId="4" applyNumberFormat="1" applyFont="1" applyFill="1" applyAlignment="1" applyProtection="1"/>
    <xf numFmtId="4" fontId="3" fillId="0" borderId="0" xfId="4" applyNumberFormat="1" applyFont="1" applyFill="1" applyAlignment="1" applyProtection="1"/>
    <xf numFmtId="167" fontId="3" fillId="0" borderId="0" xfId="4" applyNumberFormat="1" applyFont="1" applyFill="1" applyAlignment="1" applyProtection="1"/>
    <xf numFmtId="168" fontId="5" fillId="3" borderId="0" xfId="0" applyNumberFormat="1" applyFont="1" applyFill="1" applyAlignment="1">
      <alignment horizontal="center" vertical="center" wrapText="1"/>
    </xf>
    <xf numFmtId="2" fontId="5" fillId="3" borderId="0" xfId="0" applyNumberFormat="1" applyFont="1" applyFill="1" applyAlignment="1">
      <alignment horizontal="center" vertical="center" wrapText="1"/>
    </xf>
    <xf numFmtId="168" fontId="2" fillId="3" borderId="0" xfId="0" applyNumberFormat="1" applyFont="1" applyFill="1" applyAlignment="1">
      <alignment horizontal="center" vertical="center" wrapText="1"/>
    </xf>
    <xf numFmtId="165" fontId="2" fillId="3" borderId="0" xfId="0" applyNumberFormat="1" applyFont="1" applyFill="1" applyAlignment="1">
      <alignment horizontal="center" vertical="center" wrapText="1"/>
    </xf>
    <xf numFmtId="166" fontId="2" fillId="3" borderId="0" xfId="0" applyNumberFormat="1" applyFont="1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/>
    <xf numFmtId="165" fontId="6" fillId="0" borderId="0" xfId="0" applyNumberFormat="1" applyFont="1"/>
    <xf numFmtId="9" fontId="6" fillId="0" borderId="0" xfId="0" applyNumberFormat="1" applyFont="1"/>
    <xf numFmtId="166" fontId="6" fillId="0" borderId="0" xfId="0" applyNumberFormat="1" applyFont="1"/>
    <xf numFmtId="2" fontId="6" fillId="0" borderId="0" xfId="0" applyNumberFormat="1" applyFont="1"/>
    <xf numFmtId="168" fontId="6" fillId="0" borderId="0" xfId="0" applyNumberFormat="1" applyFont="1"/>
    <xf numFmtId="0" fontId="6" fillId="0" borderId="0" xfId="3" applyFont="1" applyFill="1" applyAlignment="1" applyProtection="1"/>
    <xf numFmtId="0" fontId="0" fillId="0" borderId="0" xfId="5" applyFont="1" applyFill="1" applyAlignment="1" applyProtection="1"/>
    <xf numFmtId="4" fontId="6" fillId="0" borderId="0" xfId="3" applyNumberFormat="1" applyFont="1" applyFill="1" applyAlignment="1" applyProtection="1"/>
    <xf numFmtId="0" fontId="0" fillId="0" borderId="0" xfId="2" applyFont="1" applyFill="1" applyAlignment="1" applyProtection="1"/>
    <xf numFmtId="164" fontId="0" fillId="0" borderId="0" xfId="2" applyNumberFormat="1" applyFont="1" applyFill="1" applyAlignment="1" applyProtection="1"/>
    <xf numFmtId="1" fontId="0" fillId="0" borderId="0" xfId="2" applyNumberFormat="1" applyFont="1" applyFill="1" applyAlignment="1" applyProtection="1"/>
    <xf numFmtId="0" fontId="0" fillId="3" borderId="0" xfId="0" applyFill="1"/>
    <xf numFmtId="171" fontId="3" fillId="0" borderId="0" xfId="4" applyNumberFormat="1" applyFont="1" applyFill="1" applyAlignment="1" applyProtection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8" xfId="0" applyBorder="1"/>
    <xf numFmtId="0" fontId="0" fillId="0" borderId="5" xfId="0" applyBorder="1"/>
    <xf numFmtId="0" fontId="0" fillId="0" borderId="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" xfId="0" applyNumberFormat="1" applyBorder="1"/>
    <xf numFmtId="0" fontId="0" fillId="0" borderId="8" xfId="0" applyNumberFormat="1" applyBorder="1"/>
    <xf numFmtId="0" fontId="0" fillId="0" borderId="5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6" xfId="0" applyNumberFormat="1" applyBorder="1"/>
    <xf numFmtId="0" fontId="0" fillId="0" borderId="7" xfId="0" applyBorder="1"/>
  </cellXfs>
  <cellStyles count="6">
    <cellStyle name="cf1" xfId="1"/>
    <cellStyle name="Normalny" xfId="0" builtinId="0" customBuiltin="1"/>
    <cellStyle name="Normalny 2" xfId="2"/>
    <cellStyle name="Normalny 2 2" xfId="3"/>
    <cellStyle name="Normalny 3" xfId="4"/>
    <cellStyle name="Normalny 4" xfId="5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charset val="23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charset val="23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charset val="23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charset val="238"/>
        <scheme val="none"/>
      </font>
      <numFmt numFmtId="168" formatCode="dd&quot;.&quot;mm&quot;.&quot;yyyy"/>
      <fill>
        <patternFill patternType="solid">
          <fgColor rgb="FF004E42"/>
          <bgColor rgb="FF004E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168" formatCode="dd&quot;.&quot;mm&quot;.&quot;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168" formatCode="dd&quot;.&quot;mm&quot;.&quot;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168" formatCode="dd&quot;.&quot;mm&quot;.&quot;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166" formatCode="#,##0&quot; &quot;[$zł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166" formatCode="#,##0&quot; &quot;[$zł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  <numFmt numFmtId="165" formatCode="#,##0&quot; &quot;[$zł];[Red]&quot;-&quot;#,##0&quot; &quot;[$zł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charset val="238"/>
        <scheme val="none"/>
      </font>
    </dxf>
    <dxf>
      <font>
        <color rgb="FFFFFFFF"/>
        <charset val="238"/>
      </font>
      <fill>
        <patternFill patternType="solid">
          <fgColor rgb="FFA6A6A6"/>
          <bgColor rgb="FFA6A6A6"/>
        </patternFill>
      </fill>
    </dxf>
    <dxf>
      <font>
        <color rgb="FFFFFFFF"/>
        <charset val="238"/>
      </font>
      <fill>
        <patternFill patternType="solid">
          <fgColor rgb="FFA6A6A6"/>
          <bgColor rgb="FFA6A6A6"/>
        </patternFill>
      </fill>
    </dxf>
    <dxf>
      <font>
        <color rgb="FFFFFFFF"/>
        <charset val="238"/>
      </font>
      <fill>
        <patternFill patternType="solid">
          <fgColor rgb="FFA6A6A6"/>
          <bgColor rgb="FFA6A6A6"/>
        </patternFill>
      </fill>
    </dxf>
    <dxf>
      <font>
        <color rgb="FFFFFFFF"/>
        <charset val="238"/>
      </font>
      <fill>
        <patternFill patternType="solid">
          <fgColor rgb="FFA6A6A6"/>
          <bgColor rgb="FFA6A6A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231910</xdr:colOff>
      <xdr:row>1</xdr:row>
      <xdr:rowOff>55211</xdr:rowOff>
    </xdr:from>
    <xdr:ext cx="3617018" cy="1420191"/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7B67FC87-55F3-44FE-82A1-E650BE3074F3}"/>
            </a:ext>
          </a:extLst>
        </xdr:cNvPr>
        <xdr:cNvSpPr txBox="1"/>
      </xdr:nvSpPr>
      <xdr:spPr>
        <a:xfrm>
          <a:off x="2037850" y="222851"/>
          <a:ext cx="3617018" cy="1420191"/>
        </a:xfrm>
        <a:prstGeom prst="rect">
          <a:avLst/>
        </a:prstGeom>
      </xdr:spPr>
      <xdr:txBody>
        <a:bodyPr lIns="0" tIns="0" rIns="0" bIns="0"/>
        <a:lstStyle/>
        <a:p>
          <a:pPr lvl="0">
            <a:buNone/>
          </a:pPr>
          <a:r>
            <a:rPr lang="pl-PL"/>
            <a:t>Hej Michale, mam 2 kolumny w jednej firmy w drugiej adresatów. Firmy występują wielokrotnie ale mają czasem różnych adresatów. W excelu fx łącz teksty łączę kolumny, sortuje po unikatach, rozdzielam, tabelą przestawną widzę ile adresatów jest przypisanych do firmy ale widzę sztuki nie widzę od razu danych. Chciałabym makro które w wierszu pokaże firmę i wszystkich adresatów do niej przypisanych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148489</xdr:rowOff>
    </xdr:from>
    <xdr:ext cx="7734296" cy="2962271"/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9D6478E4-863D-44E7-9030-A1A4C6820F04}"/>
            </a:ext>
          </a:extLst>
        </xdr:cNvPr>
        <xdr:cNvSpPr txBox="1"/>
      </xdr:nvSpPr>
      <xdr:spPr>
        <a:xfrm>
          <a:off x="609600" y="323749"/>
          <a:ext cx="7734296" cy="2962271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txBody>
        <a:bodyPr lIns="0" tIns="0" rIns="0" bIns="0"/>
        <a:lstStyle/>
        <a:p>
          <a:pPr lvl="0">
            <a:buNone/>
          </a:pPr>
          <a:r>
            <a:rPr lang="pl-PL"/>
            <a:t>Agenda:</a:t>
          </a:r>
          <a:br>
            <a:rPr lang="pl-PL"/>
          </a:br>
          <a:br>
            <a:rPr lang="pl-PL"/>
          </a:br>
          <a:r>
            <a:rPr lang="pl-PL"/>
            <a:t>1. Pokonywanie problemów nie do pokonania</a:t>
          </a:r>
        </a:p>
        <a:p>
          <a:pPr lvl="0">
            <a:buNone/>
          </a:pPr>
          <a:r>
            <a:rPr lang="pl-PL"/>
            <a:t>2. Błyskawiczne tworzenie raportów</a:t>
          </a:r>
        </a:p>
        <a:p>
          <a:pPr lvl="0">
            <a:buNone/>
          </a:pPr>
          <a:r>
            <a:rPr lang="pl-PL"/>
            <a:t>3. Branie odpowiedzialności ze rezultaty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xcel/EXCEL%20W%20CV/upload/pliki/Zako&#324;czenie%20-%20Bon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y"/>
      <sheetName val="Przykład_1"/>
      <sheetName val="Skróty"/>
      <sheetName val="Odpowiedzi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alia Ostrowska" refreshedDate="45782.885326967589" createdVersion="6" refreshedVersion="6" minRefreshableVersion="3" recordCount="33">
  <cacheSource type="worksheet">
    <worksheetSource name="Tabela1"/>
  </cacheSource>
  <cacheFields count="17">
    <cacheField name="NR TRANSAKCJI" numFmtId="0">
      <sharedItems containsSemiMixedTypes="0" containsString="0" containsNumber="1" containsInteger="1" minValue="1139" maxValue="1369"/>
    </cacheField>
    <cacheField name="ID ZAMÓWIENIA" numFmtId="0">
      <sharedItems/>
    </cacheField>
    <cacheField name="IMIĘ" numFmtId="0">
      <sharedItems/>
    </cacheField>
    <cacheField name="NAZWISKO" numFmtId="0">
      <sharedItems/>
    </cacheField>
    <cacheField name="FIRMA" numFmtId="0">
      <sharedItems/>
    </cacheField>
    <cacheField name="NIP" numFmtId="0">
      <sharedItems containsSemiMixedTypes="0" containsString="0" containsNumber="1" containsInteger="1" minValue="1377010276" maxValue="9623168584"/>
    </cacheField>
    <cacheField name="NETTO" numFmtId="165">
      <sharedItems containsSemiMixedTypes="0" containsString="0" containsNumber="1" minValue="4230.8900000000003" maxValue="12180.49"/>
    </cacheField>
    <cacheField name="STAWKA VAT" numFmtId="9">
      <sharedItems containsSemiMixedTypes="0" containsString="0" containsNumber="1" minValue="0.23" maxValue="0.23"/>
    </cacheField>
    <cacheField name="VAT" numFmtId="166">
      <sharedItems containsSemiMixedTypes="0" containsString="0" containsNumber="1" minValue="973.10470000000009" maxValue="2801.5127000000002"/>
    </cacheField>
    <cacheField name="BRUTTO" numFmtId="166">
      <sharedItems containsSemiMixedTypes="0" containsString="0" containsNumber="1" containsInteger="1" minValue="5204" maxValue="14982"/>
    </cacheField>
    <cacheField name="FAKTURA" numFmtId="2">
      <sharedItems/>
    </cacheField>
    <cacheField name="DATA WYSTAWIENIA FAKTURY" numFmtId="168">
      <sharedItems containsSemiMixedTypes="0" containsNonDate="0" containsDate="1" containsString="0" minDate="2025-01-01T00:00:00" maxDate="2025-01-31T00:00:00"/>
    </cacheField>
    <cacheField name="TERMIN PŁATNOŚCI" numFmtId="168">
      <sharedItems containsSemiMixedTypes="0" containsNonDate="0" containsDate="1" containsString="0" minDate="2025-01-15T00:00:00" maxDate="2025-02-14T00:00:00"/>
    </cacheField>
    <cacheField name="DATA PŁATNOŚCI" numFmtId="168">
      <sharedItems containsNonDate="0" containsDate="1" containsString="0" containsBlank="1" minDate="2025-01-06T00:00:00" maxDate="2025-02-12T00:00:00"/>
    </cacheField>
    <cacheField name="Miesiąc" numFmtId="0">
      <sharedItems count="1">
        <s v="styczeń"/>
      </sharedItems>
    </cacheField>
    <cacheField name="Rok" numFmtId="0">
      <sharedItems containsSemiMixedTypes="0" containsString="0" containsNumber="1" containsInteger="1" minValue="2025" maxValue="2025" count="1">
        <n v="2025"/>
      </sharedItems>
    </cacheField>
    <cacheField name="Status płatności" numFmtId="0">
      <sharedItems count="2">
        <s v="Z datą płatności"/>
        <s v="Bez daty płatnośc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n v="1139"/>
    <s v="CA-152156"/>
    <s v="Barbara"/>
    <s v="Ostrowska"/>
    <s v="Stickgenics"/>
    <n v="1732377271"/>
    <n v="6381.3"/>
    <n v="0.23"/>
    <n v="1467.6990000000001"/>
    <n v="7849"/>
    <s v="1/2025"/>
    <d v="2025-01-01T00:00:00"/>
    <d v="2025-01-15T00:00:00"/>
    <d v="2025-01-28T00:00:00"/>
    <x v="0"/>
    <x v="0"/>
    <x v="0"/>
  </r>
  <r>
    <n v="1148"/>
    <s v="CA-138688"/>
    <s v="Katarzyna"/>
    <s v="Pacuła"/>
    <s v="Cafe Góra Miodu"/>
    <n v="6428942303"/>
    <n v="10089.43"/>
    <n v="0.23"/>
    <n v="2320.5689000000002"/>
    <n v="12410"/>
    <s v="2/2025"/>
    <d v="2025-01-01T00:00:00"/>
    <d v="2025-01-15T00:00:00"/>
    <d v="2025-01-06T00:00:00"/>
    <x v="0"/>
    <x v="0"/>
    <x v="0"/>
  </r>
  <r>
    <n v="1163"/>
    <s v="US-108966"/>
    <s v="Robert"/>
    <s v="Reszczyński"/>
    <s v="AVF Technika"/>
    <n v="6854087252"/>
    <n v="7517.07"/>
    <n v="0.23"/>
    <n v="1728.9260999999999"/>
    <n v="9246"/>
    <s v="3/2025"/>
    <d v="2025-01-02T00:00:00"/>
    <d v="2025-01-16T00:00:00"/>
    <d v="2025-01-29T00:00:00"/>
    <x v="0"/>
    <x v="0"/>
    <x v="0"/>
  </r>
  <r>
    <n v="1164"/>
    <s v="CA-115812"/>
    <s v="Barbara"/>
    <s v="Węgier"/>
    <s v="BBBS Spółka z o.o."/>
    <n v="5144668045"/>
    <n v="8406.5"/>
    <n v="0.23"/>
    <n v="1933.4950000000001"/>
    <n v="10340"/>
    <s v="4/2025"/>
    <d v="2025-01-03T00:00:00"/>
    <d v="2025-01-17T00:00:00"/>
    <m/>
    <x v="0"/>
    <x v="0"/>
    <x v="1"/>
  </r>
  <r>
    <n v="1173"/>
    <s v="CA-114412"/>
    <s v="Wojciech"/>
    <s v="Grzeszczak"/>
    <s v="AMP Group Spółka z o.o."/>
    <n v="8510260460"/>
    <n v="11870.73"/>
    <n v="0.23"/>
    <n v="2730.2678999999998"/>
    <n v="14601"/>
    <s v="5/2025"/>
    <d v="2025-01-03T00:00:00"/>
    <d v="2025-01-17T00:00:00"/>
    <d v="2025-01-18T00:00:00"/>
    <x v="0"/>
    <x v="0"/>
    <x v="0"/>
  </r>
  <r>
    <n v="1182"/>
    <s v="CA-161389"/>
    <s v="Barbara"/>
    <s v="Janiszewska"/>
    <s v="Polomedika Spółka z o.o."/>
    <n v="7842451528"/>
    <n v="6654.47"/>
    <n v="0.23"/>
    <n v="1530.5281000000002"/>
    <n v="8185"/>
    <s v="6/2025"/>
    <d v="2025-01-03T00:00:00"/>
    <d v="2025-01-17T00:00:00"/>
    <d v="2025-01-16T00:00:00"/>
    <x v="0"/>
    <x v="0"/>
    <x v="0"/>
  </r>
  <r>
    <n v="1187"/>
    <s v="US-118983"/>
    <s v="Piotr"/>
    <s v="Beneka"/>
    <s v="Angora Spólka Komandytowa"/>
    <n v="4257365937"/>
    <n v="4456.91"/>
    <n v="0.23"/>
    <n v="1025.0893000000001"/>
    <n v="5482"/>
    <s v="7/2025"/>
    <d v="2025-01-04T00:00:00"/>
    <d v="2025-01-18T00:00:00"/>
    <d v="2025-01-07T00:00:00"/>
    <x v="0"/>
    <x v="0"/>
    <x v="0"/>
  </r>
  <r>
    <n v="1191"/>
    <s v="CA-105893"/>
    <s v="Mieczysława"/>
    <s v="Szelest"/>
    <s v="Tergero Polska Sp. z o.o."/>
    <n v="4341594652"/>
    <n v="9740.65"/>
    <n v="0.23"/>
    <n v="2240.3494999999998"/>
    <n v="11981"/>
    <s v="8/2025"/>
    <d v="2025-01-05T00:00:00"/>
    <d v="2025-01-19T00:00:00"/>
    <m/>
    <x v="0"/>
    <x v="0"/>
    <x v="1"/>
  </r>
  <r>
    <n v="1211"/>
    <s v="CA-167164"/>
    <s v="Lesław"/>
    <s v="Chojnacki"/>
    <s v="Crosaira Media"/>
    <n v="7430048616"/>
    <n v="5408.13"/>
    <n v="0.23"/>
    <n v="1243.8699000000001"/>
    <n v="6652"/>
    <s v="9/2025"/>
    <d v="2025-01-06T00:00:00"/>
    <d v="2025-01-20T00:00:00"/>
    <d v="2025-01-31T00:00:00"/>
    <x v="0"/>
    <x v="0"/>
    <x v="0"/>
  </r>
  <r>
    <n v="1212"/>
    <s v="CA-143336"/>
    <s v="Wanda"/>
    <s v="Mianowska"/>
    <s v="Best of Emp"/>
    <n v="9623168584"/>
    <n v="10691.06"/>
    <n v="0.23"/>
    <n v="2458.9438"/>
    <n v="13150"/>
    <s v="10/2025"/>
    <d v="2025-01-07T00:00:00"/>
    <d v="2025-01-21T00:00:00"/>
    <d v="2025-01-29T00:00:00"/>
    <x v="0"/>
    <x v="0"/>
    <x v="0"/>
  </r>
  <r>
    <n v="1215"/>
    <s v="CA-137330"/>
    <s v="Izabela"/>
    <s v="Feler"/>
    <s v="exWWW Sp. z o.o."/>
    <n v="5180778197"/>
    <n v="8160.98"/>
    <n v="0.23"/>
    <n v="1877.0254"/>
    <n v="10038"/>
    <s v="11/2025"/>
    <d v="2025-01-08T00:00:00"/>
    <d v="2025-01-22T00:00:00"/>
    <m/>
    <x v="0"/>
    <x v="0"/>
    <x v="1"/>
  </r>
  <r>
    <n v="1217"/>
    <s v="US-156909"/>
    <s v="Barbara"/>
    <s v="Jasińska"/>
    <s v="Obelisk Head"/>
    <n v="5662257723"/>
    <n v="7012.2"/>
    <n v="0.23"/>
    <n v="1612.806"/>
    <n v="8625"/>
    <s v="12/2025"/>
    <d v="2025-01-09T00:00:00"/>
    <d v="2025-01-23T00:00:00"/>
    <d v="2025-01-21T00:00:00"/>
    <x v="0"/>
    <x v="0"/>
    <x v="0"/>
  </r>
  <r>
    <n v="1218"/>
    <s v="CA-106320"/>
    <s v="Monika"/>
    <s v="Ciechowska"/>
    <s v="Wtf Company"/>
    <n v="2817594142"/>
    <n v="6104.07"/>
    <n v="0.23"/>
    <n v="1403.9360999999999"/>
    <n v="7508"/>
    <s v="13/2025"/>
    <d v="2025-01-10T00:00:00"/>
    <d v="2025-01-24T00:00:00"/>
    <d v="2025-01-27T00:00:00"/>
    <x v="0"/>
    <x v="0"/>
    <x v="0"/>
  </r>
  <r>
    <n v="1222"/>
    <s v="CA-121755"/>
    <s v="Grażyna"/>
    <s v="Mikołajczyk"/>
    <s v="Stick Fortune"/>
    <n v="4213025457"/>
    <n v="11676.42"/>
    <n v="0.23"/>
    <n v="2685.5766000000003"/>
    <n v="14362"/>
    <s v="14/2025"/>
    <d v="2025-01-11T00:00:00"/>
    <d v="2025-01-25T00:00:00"/>
    <m/>
    <x v="0"/>
    <x v="0"/>
    <x v="1"/>
  </r>
  <r>
    <n v="1223"/>
    <s v="US-150630"/>
    <s v="Daniel"/>
    <s v="Siedlecki"/>
    <s v="PMM Wisła"/>
    <n v="6912807847"/>
    <n v="12043.09"/>
    <n v="0.23"/>
    <n v="2769.9107000000004"/>
    <n v="14813"/>
    <s v="15/2025"/>
    <d v="2025-01-12T00:00:00"/>
    <d v="2025-01-26T00:00:00"/>
    <d v="2025-02-08T00:00:00"/>
    <x v="0"/>
    <x v="0"/>
    <x v="0"/>
  </r>
  <r>
    <n v="1240"/>
    <s v="CA-107727"/>
    <s v="Aneta"/>
    <s v="Wolej"/>
    <s v="Akord Technica Sp. z o.o."/>
    <n v="1661408649"/>
    <n v="12129.27"/>
    <n v="0.23"/>
    <n v="2789.7321000000002"/>
    <n v="14919"/>
    <s v="16/2025"/>
    <d v="2025-01-13T00:00:00"/>
    <d v="2025-01-27T00:00:00"/>
    <d v="2025-02-11T00:00:00"/>
    <x v="0"/>
    <x v="0"/>
    <x v="0"/>
  </r>
  <r>
    <n v="1241"/>
    <s v="CA-117590"/>
    <s v="Karolina"/>
    <s v="Zach"/>
    <s v="X-Health Sp. z o.o."/>
    <n v="3341901817"/>
    <n v="4304.07"/>
    <n v="0.23"/>
    <n v="989.93610000000001"/>
    <n v="5294"/>
    <s v="17/2025"/>
    <d v="2025-01-14T00:00:00"/>
    <d v="2025-01-28T00:00:00"/>
    <d v="2025-01-16T00:00:00"/>
    <x v="0"/>
    <x v="0"/>
    <x v="0"/>
  </r>
  <r>
    <n v="1246"/>
    <s v="CA-117415"/>
    <s v="Patrycja"/>
    <s v="Barcisz"/>
    <s v="PC-Laboratorium"/>
    <n v="9435127072"/>
    <n v="4972.3599999999997"/>
    <n v="0.23"/>
    <n v="1143.6428000000001"/>
    <n v="6116"/>
    <s v="18/2025"/>
    <d v="2025-01-15T00:00:00"/>
    <d v="2025-01-29T00:00:00"/>
    <d v="2025-01-17T00:00:00"/>
    <x v="0"/>
    <x v="0"/>
    <x v="0"/>
  </r>
  <r>
    <n v="1250"/>
    <s v="CA-120999"/>
    <s v="Ewelina"/>
    <s v="Miejska"/>
    <s v="Rentimeter Sp. z o.o."/>
    <n v="1954168384"/>
    <n v="7592.68"/>
    <n v="0.23"/>
    <n v="1746.3164000000002"/>
    <n v="9339"/>
    <s v="19/2025"/>
    <d v="2025-01-16T00:00:00"/>
    <d v="2025-01-30T00:00:00"/>
    <d v="2025-01-20T00:00:00"/>
    <x v="0"/>
    <x v="0"/>
    <x v="0"/>
  </r>
  <r>
    <n v="1262"/>
    <s v="CA-101343"/>
    <s v="Zofia"/>
    <s v="Szafrańska"/>
    <s v="Mich-media"/>
    <n v="2994329983"/>
    <n v="12180.49"/>
    <n v="0.23"/>
    <n v="2801.5127000000002"/>
    <n v="14982"/>
    <s v="20/2025"/>
    <d v="2025-01-17T00:00:00"/>
    <d v="2025-01-31T00:00:00"/>
    <m/>
    <x v="0"/>
    <x v="0"/>
    <x v="1"/>
  </r>
  <r>
    <n v="1281"/>
    <s v="CA-139619"/>
    <s v="Juliusz"/>
    <s v="Dziwulski"/>
    <s v="Nanocare Sp. z o.o."/>
    <n v="4831129141"/>
    <n v="8456.1"/>
    <n v="0.23"/>
    <n v="1944.9030000000002"/>
    <n v="10401"/>
    <s v="21/2025"/>
    <d v="2025-01-18T00:00:00"/>
    <d v="2025-02-01T00:00:00"/>
    <d v="2025-01-29T00:00:00"/>
    <x v="0"/>
    <x v="0"/>
    <x v="0"/>
  </r>
  <r>
    <n v="1297"/>
    <s v="CA-118255"/>
    <s v="Izabela"/>
    <s v="Dudek"/>
    <s v="Dodek-pol"/>
    <n v="5632399654"/>
    <n v="9917.07"/>
    <n v="0.23"/>
    <n v="2280.9261000000001"/>
    <n v="12198"/>
    <s v="22/2025"/>
    <d v="2025-01-19T00:00:00"/>
    <d v="2025-02-02T00:00:00"/>
    <d v="2025-01-22T00:00:00"/>
    <x v="0"/>
    <x v="0"/>
    <x v="0"/>
  </r>
  <r>
    <n v="1313"/>
    <s v="CA-146703"/>
    <s v="Benedykt"/>
    <s v="Hardy"/>
    <s v="Hardy&amp;Hardy"/>
    <n v="4792588518"/>
    <n v="6899.19"/>
    <n v="0.23"/>
    <n v="1586.8136999999999"/>
    <n v="8486"/>
    <s v="23/2025"/>
    <d v="2025-01-20T00:00:00"/>
    <d v="2025-02-03T00:00:00"/>
    <d v="2025-01-23T00:00:00"/>
    <x v="0"/>
    <x v="0"/>
    <x v="0"/>
  </r>
  <r>
    <n v="1320"/>
    <s v="CA-169194"/>
    <s v="Dariusz"/>
    <s v="Pieńkowski"/>
    <s v="Piensko-pol"/>
    <n v="2466805173"/>
    <n v="10131.709999999999"/>
    <n v="0.23"/>
    <n v="2330.2932999999998"/>
    <n v="12462"/>
    <s v="24/2025"/>
    <d v="2025-01-21T00:00:00"/>
    <d v="2025-02-04T00:00:00"/>
    <d v="2025-01-27T00:00:00"/>
    <x v="0"/>
    <x v="0"/>
    <x v="0"/>
  </r>
  <r>
    <n v="1329"/>
    <s v="CA-115742"/>
    <s v="Stanisław"/>
    <s v="Lechowicz"/>
    <s v="Lechow bis"/>
    <n v="5910817373"/>
    <n v="8003.25"/>
    <n v="0.23"/>
    <n v="1840.7475000000002"/>
    <n v="9844"/>
    <s v="25/2025"/>
    <d v="2025-01-22T00:00:00"/>
    <d v="2025-02-05T00:00:00"/>
    <m/>
    <x v="0"/>
    <x v="0"/>
    <x v="1"/>
  </r>
  <r>
    <n v="1333"/>
    <s v="CA-105816"/>
    <s v="Janina"/>
    <s v="Jasińska"/>
    <s v="Mediacore Sp. z o.o."/>
    <n v="2650348826"/>
    <n v="11179.67"/>
    <n v="0.23"/>
    <n v="2571.3241000000003"/>
    <n v="13751"/>
    <s v="26/2025"/>
    <d v="2025-01-23T00:00:00"/>
    <d v="2025-02-06T00:00:00"/>
    <d v="2025-01-24T00:00:00"/>
    <x v="0"/>
    <x v="0"/>
    <x v="0"/>
  </r>
  <r>
    <n v="1339"/>
    <s v="CA-111682"/>
    <s v="Romuald"/>
    <s v="Zambrowicz"/>
    <s v="Colorouce"/>
    <n v="1377010276"/>
    <n v="6573.98"/>
    <n v="0.23"/>
    <n v="1512.0154"/>
    <n v="8086"/>
    <s v="27/2025"/>
    <d v="2025-01-24T00:00:00"/>
    <d v="2025-02-07T00:00:00"/>
    <d v="2025-01-31T00:00:00"/>
    <x v="0"/>
    <x v="0"/>
    <x v="0"/>
  </r>
  <r>
    <n v="1340"/>
    <s v="CA-135545"/>
    <s v="Olgierd"/>
    <s v="Rosiewicz"/>
    <s v="Plairbrush"/>
    <n v="8926797137"/>
    <n v="9104.07"/>
    <n v="0.23"/>
    <n v="2093.9360999999999"/>
    <n v="11198"/>
    <s v="28/2025"/>
    <d v="2025-01-25T00:00:00"/>
    <d v="2025-02-08T00:00:00"/>
    <d v="2025-02-10T00:00:00"/>
    <x v="0"/>
    <x v="0"/>
    <x v="0"/>
  </r>
  <r>
    <n v="1341"/>
    <s v="US-164175"/>
    <s v="Mikołaj"/>
    <s v="Siennicki"/>
    <s v="Scrayons Sp. z o.o."/>
    <n v="2116684585"/>
    <n v="8428.4599999999991"/>
    <n v="0.23"/>
    <n v="1938.5457999999999"/>
    <n v="10367"/>
    <s v="29/2025"/>
    <d v="2025-01-26T00:00:00"/>
    <d v="2025-02-09T00:00:00"/>
    <m/>
    <x v="0"/>
    <x v="0"/>
    <x v="1"/>
  </r>
  <r>
    <n v="1348"/>
    <s v="CA-106376"/>
    <s v="Gorzegorz"/>
    <s v="Anioł"/>
    <s v="Pencilsite"/>
    <n v="3672951128"/>
    <n v="4993.5"/>
    <n v="0.23"/>
    <n v="1148.5050000000001"/>
    <n v="6142"/>
    <s v="30/2025"/>
    <d v="2025-01-27T00:00:00"/>
    <d v="2025-02-10T00:00:00"/>
    <m/>
    <x v="0"/>
    <x v="0"/>
    <x v="1"/>
  </r>
  <r>
    <n v="1356"/>
    <s v="CA-119823"/>
    <s v="Janusz"/>
    <s v="Lichwiarz"/>
    <s v="Coloroues"/>
    <n v="6375448835"/>
    <n v="4230.8900000000003"/>
    <n v="0.23"/>
    <n v="973.10470000000009"/>
    <n v="5204"/>
    <s v="31/2025"/>
    <d v="2025-01-28T00:00:00"/>
    <d v="2025-02-11T00:00:00"/>
    <d v="2025-02-10T00:00:00"/>
    <x v="0"/>
    <x v="0"/>
    <x v="0"/>
  </r>
  <r>
    <n v="1357"/>
    <s v="CA-106075"/>
    <s v="Jerzy"/>
    <s v="Boroński"/>
    <s v="Typeflip Sp. z o.o."/>
    <n v="8922358731"/>
    <n v="5383.74"/>
    <n v="0.23"/>
    <n v="1238.2601999999999"/>
    <n v="6622"/>
    <s v="32/2025"/>
    <d v="2025-01-29T00:00:00"/>
    <d v="2025-02-12T00:00:00"/>
    <d v="2025-02-06T00:00:00"/>
    <x v="0"/>
    <x v="0"/>
    <x v="0"/>
  </r>
  <r>
    <n v="1369"/>
    <s v="CA-114440"/>
    <s v="Elwira"/>
    <s v="Sękocińska"/>
    <s v="Stickistic"/>
    <n v="4124185745"/>
    <n v="9875.61"/>
    <n v="0.23"/>
    <n v="2271.3903"/>
    <n v="12147"/>
    <s v="33/2025"/>
    <d v="2025-01-30T00:00:00"/>
    <d v="2025-02-13T00:00:00"/>
    <m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5" cacheId="17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>
  <location ref="T4:Z8" firstHeaderRow="1" firstDataRow="3" firstDataCol="1"/>
  <pivotFields count="17">
    <pivotField dataField="1" showAll="0"/>
    <pivotField showAll="0"/>
    <pivotField showAll="0"/>
    <pivotField showAll="0"/>
    <pivotField showAll="0"/>
    <pivotField showAll="0"/>
    <pivotField dataField="1" numFmtId="165" showAll="0"/>
    <pivotField numFmtId="9" showAll="0"/>
    <pivotField numFmtId="166" showAll="0"/>
    <pivotField numFmtId="166" showAll="0"/>
    <pivotField showAll="0"/>
    <pivotField numFmtId="168" showAll="0"/>
    <pivotField numFmtId="168" showAll="0"/>
    <pivotField showAll="0"/>
    <pivotField axis="axisRow" showAll="0">
      <items count="2">
        <item x="0"/>
        <item t="default"/>
      </items>
    </pivotField>
    <pivotField axis="axisRow" showAll="0">
      <items count="2">
        <item sd="0" x="0"/>
        <item t="default"/>
      </items>
    </pivotField>
    <pivotField axis="axisCol" showAll="0">
      <items count="3">
        <item x="1"/>
        <item x="0"/>
        <item t="default"/>
      </items>
    </pivotField>
  </pivotFields>
  <rowFields count="2">
    <field x="15"/>
    <field x="14"/>
  </rowFields>
  <rowItems count="2">
    <i>
      <x/>
    </i>
    <i t="grand">
      <x/>
    </i>
  </rowItems>
  <colFields count="2">
    <field x="16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KWOTA" fld="6" baseField="15" baseItem="0"/>
    <dataField name="Liczba z NR TRANSAKCJI" fld="0" subtotal="count" baseField="15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neZewnętrzne_1" connectionId="2" autoFormatId="16" applyNumberFormats="0" applyBorderFormats="0" applyFontFormats="0" applyPatternFormats="0" applyAlignmentFormats="0" applyWidthHeightFormats="0">
  <queryTableRefresh nextId="20">
    <queryTableFields count="19">
      <queryTableField id="1" name="Firma" tableColumnId="1"/>
      <queryTableField id="2" name="1" tableColumnId="2"/>
      <queryTableField id="3" name="2" tableColumnId="3"/>
      <queryTableField id="4" name="3" tableColumnId="4"/>
      <queryTableField id="5" name="4" tableColumnId="5"/>
      <queryTableField id="6" name="5" tableColumnId="6"/>
      <queryTableField id="7" name="6" tableColumnId="7"/>
      <queryTableField id="8" name="7" tableColumnId="8"/>
      <queryTableField id="9" name="8" tableColumnId="9"/>
      <queryTableField id="10" name="9" tableColumnId="10"/>
      <queryTableField id="11" name="10" tableColumnId="11"/>
      <queryTableField id="12" name="11" tableColumnId="12"/>
      <queryTableField id="13" name="12" tableColumnId="13"/>
      <queryTableField id="14" name="13" tableColumnId="14"/>
      <queryTableField id="15" name="14" tableColumnId="15"/>
      <queryTableField id="16" name="15" tableColumnId="16"/>
      <queryTableField id="17" name="16" tableColumnId="17"/>
      <queryTableField id="18" name="17" tableColumnId="18"/>
      <queryTableField id="19" name="18" tableColumnId="1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a1" displayName="Tabela1" ref="A1:Q34" totalsRowShown="0" headerRowDxfId="4">
  <autoFilter ref="A1:Q34"/>
  <tableColumns count="17">
    <tableColumn id="1" name="NR TRANSAKCJI" dataDxfId="20"/>
    <tableColumn id="2" name="ID ZAMÓWIENIA" dataDxfId="19"/>
    <tableColumn id="3" name="IMIĘ" dataDxfId="18"/>
    <tableColumn id="4" name="NAZWISKO" dataDxfId="17"/>
    <tableColumn id="5" name="FIRMA" dataDxfId="16"/>
    <tableColumn id="6" name="NIP" dataDxfId="15"/>
    <tableColumn id="7" name="NETTO" dataDxfId="14"/>
    <tableColumn id="8" name="STAWKA VAT" dataDxfId="13"/>
    <tableColumn id="9" name="VAT" dataDxfId="12"/>
    <tableColumn id="10" name="BRUTTO" dataDxfId="11"/>
    <tableColumn id="11" name="FAKTURA" dataDxfId="10"/>
    <tableColumn id="12" name="DATA WYSTAWIENIA FAKTURY" dataDxfId="9"/>
    <tableColumn id="13" name="TERMIN PŁATNOŚCI" dataDxfId="8">
      <calculatedColumnFormula>L2+14</calculatedColumnFormula>
    </tableColumn>
    <tableColumn id="14" name="DATA PŁATNOŚCI" dataDxfId="7"/>
    <tableColumn id="15" name="Miesiąc">
      <calculatedColumnFormula>TEXT(Tabela1[[#This Row],[DATA WYSTAWIENIA FAKTURY]], "MMMM")</calculatedColumnFormula>
    </tableColumn>
    <tableColumn id="16" name="Rok" dataDxfId="6">
      <calculatedColumnFormula>YEAR(Tabela1[[#This Row],[DATA WYSTAWIENIA FAKTURY]])</calculatedColumnFormula>
    </tableColumn>
    <tableColumn id="17" name="Status płatności" dataDxfId="5">
      <calculatedColumnFormula>IF(ISBLANK(Tabela1[[#This Row],[DATA PŁATNOŚCI]]),"Bez daty płatności","Z datą płatności")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B19" totalsRowShown="0" headerRowDxfId="0" dataDxfId="1" headerRowCellStyle="Normalny 2 2" dataCellStyle="Normalny 4">
  <autoFilter ref="A1:B19"/>
  <tableColumns count="2">
    <tableColumn id="1" name="Firma" dataDxfId="3" dataCellStyle="Normalny 4"/>
    <tableColumn id="2" name="Adresat" dataDxfId="2" dataCellStyle="Normalny 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abela2__2" displayName="Tabela2__2" ref="A1:S8" tableType="queryTable" totalsRowShown="0">
  <autoFilter ref="A1:S8"/>
  <tableColumns count="19">
    <tableColumn id="1" uniqueName="1" name="Firma" queryTableFieldId="1"/>
    <tableColumn id="2" uniqueName="2" name="1" queryTableFieldId="2"/>
    <tableColumn id="3" uniqueName="3" name="2" queryTableFieldId="3"/>
    <tableColumn id="4" uniqueName="4" name="3" queryTableFieldId="4"/>
    <tableColumn id="5" uniqueName="5" name="4" queryTableFieldId="5"/>
    <tableColumn id="6" uniqueName="6" name="5" queryTableFieldId="6"/>
    <tableColumn id="7" uniqueName="7" name="6" queryTableFieldId="7"/>
    <tableColumn id="8" uniqueName="8" name="7" queryTableFieldId="8"/>
    <tableColumn id="9" uniqueName="9" name="8" queryTableFieldId="9"/>
    <tableColumn id="10" uniqueName="10" name="9" queryTableFieldId="10"/>
    <tableColumn id="11" uniqueName="11" name="10" queryTableFieldId="11"/>
    <tableColumn id="12" uniqueName="12" name="11" queryTableFieldId="12"/>
    <tableColumn id="13" uniqueName="13" name="12" queryTableFieldId="13"/>
    <tableColumn id="14" uniqueName="14" name="13" queryTableFieldId="14"/>
    <tableColumn id="15" uniqueName="15" name="14" queryTableFieldId="15"/>
    <tableColumn id="16" uniqueName="16" name="15" queryTableFieldId="16"/>
    <tableColumn id="17" uniqueName="17" name="16" queryTableFieldId="17"/>
    <tableColumn id="18" uniqueName="18" name="17" queryTableFieldId="18"/>
    <tableColumn id="19" uniqueName="19" name="18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X512"/>
  <sheetViews>
    <sheetView tabSelected="1" zoomScale="130" zoomScaleNormal="130" workbookViewId="0">
      <selection activeCell="K4" sqref="K4"/>
    </sheetView>
  </sheetViews>
  <sheetFormatPr defaultColWidth="5.69921875" defaultRowHeight="10.199999999999999" outlineLevelCol="2"/>
  <cols>
    <col min="1" max="1" width="2.796875" style="1" bestFit="1" customWidth="1"/>
    <col min="2" max="2" width="23.19921875" style="1" bestFit="1" customWidth="1"/>
    <col min="3" max="3" width="9.8984375" style="1" customWidth="1"/>
    <col min="4" max="4" width="8.19921875" style="7" bestFit="1" customWidth="1"/>
    <col min="5" max="5" width="13.69921875" style="1" bestFit="1" customWidth="1"/>
    <col min="6" max="6" width="11.59765625" style="1" bestFit="1" customWidth="1"/>
    <col min="7" max="7" width="9.59765625" style="1" bestFit="1" customWidth="1"/>
    <col min="8" max="8" width="11.59765625" style="1" hidden="1" customWidth="1" outlineLevel="2"/>
    <col min="9" max="9" width="6.69921875" style="1" hidden="1" customWidth="1" outlineLevel="2"/>
    <col min="10" max="10" width="11.59765625" style="1" hidden="1" customWidth="1" outlineLevel="2"/>
    <col min="11" max="11" width="9.59765625" style="1" bestFit="1" customWidth="1" collapsed="1"/>
    <col min="12" max="12" width="11.59765625" style="1" bestFit="1" customWidth="1"/>
    <col min="13" max="13" width="13" style="1" bestFit="1" customWidth="1"/>
    <col min="14" max="14" width="8.69921875" style="5" bestFit="1" customWidth="1"/>
    <col min="15" max="15" width="7.09765625" style="1" customWidth="1"/>
    <col min="16" max="16" width="5.69921875" style="5" bestFit="1" customWidth="1"/>
    <col min="17" max="17" width="9.296875" style="5" bestFit="1" customWidth="1"/>
    <col min="18" max="25" width="9" style="1" customWidth="1"/>
    <col min="26" max="26" width="5.69921875" style="1" customWidth="1"/>
    <col min="27" max="16384" width="5.69921875" style="1"/>
  </cols>
  <sheetData>
    <row r="1" spans="1:22">
      <c r="B1" s="2" t="s">
        <v>0</v>
      </c>
      <c r="C1" s="2" t="s">
        <v>1164</v>
      </c>
      <c r="D1" s="3"/>
      <c r="E1" s="4"/>
    </row>
    <row r="2" spans="1:22">
      <c r="B2" s="2" t="s">
        <v>1</v>
      </c>
      <c r="C2" s="2" t="s">
        <v>1168</v>
      </c>
      <c r="D2" s="3"/>
      <c r="E2" s="4"/>
    </row>
    <row r="3" spans="1:22">
      <c r="B3" s="2" t="s">
        <v>2</v>
      </c>
      <c r="C3" s="2" t="s">
        <v>1162</v>
      </c>
      <c r="D3" s="3"/>
      <c r="E3" s="4"/>
    </row>
    <row r="4" spans="1:22">
      <c r="B4" s="2" t="s">
        <v>3</v>
      </c>
      <c r="C4" s="2" t="s">
        <v>1163</v>
      </c>
      <c r="D4" s="3"/>
      <c r="E4" s="4"/>
      <c r="V4" s="6"/>
    </row>
    <row r="5" spans="1:22">
      <c r="B5" s="2" t="s">
        <v>4</v>
      </c>
      <c r="C5" s="2" t="s">
        <v>1161</v>
      </c>
      <c r="D5" s="3"/>
      <c r="E5" s="4"/>
      <c r="V5" s="6"/>
    </row>
    <row r="6" spans="1:22">
      <c r="B6" s="2" t="s">
        <v>5</v>
      </c>
      <c r="C6" s="2" t="s">
        <v>1165</v>
      </c>
      <c r="D6" s="3"/>
      <c r="E6" s="4"/>
      <c r="V6" s="6"/>
    </row>
    <row r="7" spans="1:22">
      <c r="B7" s="2" t="s">
        <v>6</v>
      </c>
      <c r="C7" s="2" t="s">
        <v>1167</v>
      </c>
      <c r="D7" s="3"/>
      <c r="E7" s="4"/>
      <c r="V7" s="6"/>
    </row>
    <row r="8" spans="1:22">
      <c r="B8" s="2" t="s">
        <v>7</v>
      </c>
      <c r="C8" s="2" t="s">
        <v>1166</v>
      </c>
      <c r="D8" s="3"/>
      <c r="E8" s="4"/>
      <c r="V8" s="6"/>
    </row>
    <row r="10" spans="1:22" ht="22.8">
      <c r="A10" s="8" t="s">
        <v>8</v>
      </c>
      <c r="B10" s="8" t="s">
        <v>9</v>
      </c>
      <c r="C10" s="8" t="s">
        <v>1160</v>
      </c>
      <c r="D10" s="8" t="s">
        <v>10</v>
      </c>
      <c r="E10" s="8" t="s">
        <v>11</v>
      </c>
      <c r="F10" s="8" t="s">
        <v>14</v>
      </c>
      <c r="G10" s="8" t="s">
        <v>12</v>
      </c>
      <c r="H10" s="8" t="s">
        <v>14</v>
      </c>
      <c r="I10" s="8" t="s">
        <v>13</v>
      </c>
      <c r="J10" s="8" t="s">
        <v>14</v>
      </c>
      <c r="K10" s="8" t="s">
        <v>15</v>
      </c>
      <c r="L10" s="8" t="s">
        <v>14</v>
      </c>
      <c r="M10" s="8" t="s">
        <v>16</v>
      </c>
      <c r="N10" s="8" t="s">
        <v>17</v>
      </c>
      <c r="O10" s="8" t="s">
        <v>18</v>
      </c>
      <c r="P10" s="8" t="s">
        <v>19</v>
      </c>
      <c r="Q10" s="9" t="s">
        <v>20</v>
      </c>
    </row>
    <row r="11" spans="1:22">
      <c r="A11" s="1">
        <v>1</v>
      </c>
      <c r="B11" s="1" t="s">
        <v>21</v>
      </c>
      <c r="C11" s="1">
        <v>152156</v>
      </c>
      <c r="D11" s="7">
        <v>42685</v>
      </c>
      <c r="E11" s="1" t="s">
        <v>22</v>
      </c>
      <c r="F11" s="1" t="s">
        <v>25</v>
      </c>
      <c r="G11" s="1" t="s">
        <v>23</v>
      </c>
      <c r="H11" s="1" t="s">
        <v>25</v>
      </c>
      <c r="I11" s="1" t="s">
        <v>24</v>
      </c>
      <c r="J11" s="1" t="s">
        <v>25</v>
      </c>
      <c r="K11" s="1" t="s">
        <v>26</v>
      </c>
      <c r="L11" s="1" t="s">
        <v>25</v>
      </c>
      <c r="M11" s="1" t="s">
        <v>27</v>
      </c>
      <c r="N11" s="5">
        <v>261.95999999999998</v>
      </c>
      <c r="O11" s="27">
        <v>2</v>
      </c>
      <c r="P11" s="5">
        <v>41.913600000000002</v>
      </c>
      <c r="Q11" s="5">
        <v>130.97999999999999</v>
      </c>
    </row>
    <row r="12" spans="1:22">
      <c r="A12" s="1">
        <v>2</v>
      </c>
      <c r="B12" s="1" t="s">
        <v>21</v>
      </c>
      <c r="C12" s="1">
        <v>152156</v>
      </c>
      <c r="D12" s="7">
        <v>42685</v>
      </c>
      <c r="E12" s="1" t="s">
        <v>22</v>
      </c>
      <c r="F12" s="1" t="s">
        <v>28</v>
      </c>
      <c r="G12" s="1" t="s">
        <v>23</v>
      </c>
      <c r="H12" s="1" t="s">
        <v>28</v>
      </c>
      <c r="I12" s="1" t="s">
        <v>24</v>
      </c>
      <c r="J12" s="1" t="s">
        <v>28</v>
      </c>
      <c r="K12" s="1" t="s">
        <v>26</v>
      </c>
      <c r="L12" s="1" t="s">
        <v>28</v>
      </c>
      <c r="M12" s="1" t="s">
        <v>29</v>
      </c>
      <c r="N12" s="5">
        <v>731.93999999999994</v>
      </c>
      <c r="O12" s="27">
        <v>3</v>
      </c>
      <c r="P12" s="5">
        <v>219.58199999999997</v>
      </c>
      <c r="Q12" s="5">
        <v>243.98</v>
      </c>
    </row>
    <row r="13" spans="1:22">
      <c r="A13" s="1">
        <v>3</v>
      </c>
      <c r="B13" s="1" t="s">
        <v>30</v>
      </c>
      <c r="C13" s="1">
        <v>138688</v>
      </c>
      <c r="D13" s="7">
        <v>42537</v>
      </c>
      <c r="E13" s="1" t="s">
        <v>31</v>
      </c>
      <c r="F13" s="1" t="s">
        <v>34</v>
      </c>
      <c r="G13" s="1" t="s">
        <v>32</v>
      </c>
      <c r="H13" s="1" t="s">
        <v>34</v>
      </c>
      <c r="I13" s="1" t="s">
        <v>33</v>
      </c>
      <c r="J13" s="1" t="s">
        <v>34</v>
      </c>
      <c r="K13" s="1" t="s">
        <v>35</v>
      </c>
      <c r="L13" s="1" t="s">
        <v>34</v>
      </c>
      <c r="M13" s="1" t="s">
        <v>36</v>
      </c>
      <c r="N13" s="5">
        <v>14.62</v>
      </c>
      <c r="O13" s="27">
        <v>2</v>
      </c>
      <c r="P13" s="5">
        <v>6.8713999999999995</v>
      </c>
      <c r="Q13" s="5">
        <v>7.31</v>
      </c>
    </row>
    <row r="14" spans="1:22">
      <c r="A14" s="1">
        <v>4</v>
      </c>
      <c r="B14" s="1" t="s">
        <v>37</v>
      </c>
      <c r="C14" s="1">
        <v>108966</v>
      </c>
      <c r="D14" s="7">
        <v>42295</v>
      </c>
      <c r="E14" s="1" t="s">
        <v>38</v>
      </c>
      <c r="F14" s="1" t="s">
        <v>40</v>
      </c>
      <c r="G14" s="1" t="s">
        <v>39</v>
      </c>
      <c r="H14" s="1" t="s">
        <v>40</v>
      </c>
      <c r="I14" s="1" t="s">
        <v>24</v>
      </c>
      <c r="J14" s="1" t="s">
        <v>40</v>
      </c>
      <c r="K14" s="1" t="s">
        <v>26</v>
      </c>
      <c r="L14" s="1" t="s">
        <v>40</v>
      </c>
      <c r="M14" s="1" t="s">
        <v>41</v>
      </c>
      <c r="N14" s="5">
        <v>957.57749999999999</v>
      </c>
      <c r="O14" s="27">
        <v>5</v>
      </c>
      <c r="P14" s="5">
        <v>-383.03100000000006</v>
      </c>
      <c r="Q14" s="5">
        <v>191.5155</v>
      </c>
    </row>
    <row r="15" spans="1:22">
      <c r="A15" s="1">
        <v>5</v>
      </c>
      <c r="B15" s="1" t="s">
        <v>37</v>
      </c>
      <c r="C15" s="1">
        <v>108966</v>
      </c>
      <c r="D15" s="7">
        <v>42295</v>
      </c>
      <c r="E15" s="1" t="s">
        <v>38</v>
      </c>
      <c r="F15" s="1" t="s">
        <v>42</v>
      </c>
      <c r="G15" s="1" t="s">
        <v>39</v>
      </c>
      <c r="H15" s="1" t="s">
        <v>42</v>
      </c>
      <c r="I15" s="1" t="s">
        <v>24</v>
      </c>
      <c r="J15" s="1" t="s">
        <v>42</v>
      </c>
      <c r="K15" s="1" t="s">
        <v>35</v>
      </c>
      <c r="L15" s="1" t="s">
        <v>42</v>
      </c>
      <c r="M15" s="1" t="s">
        <v>43</v>
      </c>
      <c r="N15" s="5">
        <v>22.368000000000002</v>
      </c>
      <c r="O15" s="27">
        <v>2</v>
      </c>
      <c r="P15" s="5">
        <v>2.5163999999999991</v>
      </c>
      <c r="Q15" s="5">
        <v>11.183999999999999</v>
      </c>
    </row>
    <row r="16" spans="1:22">
      <c r="A16" s="1">
        <v>6</v>
      </c>
      <c r="B16" s="1" t="s">
        <v>44</v>
      </c>
      <c r="C16" s="1">
        <v>115812</v>
      </c>
      <c r="D16" s="7">
        <v>41804</v>
      </c>
      <c r="E16" s="1" t="s">
        <v>45</v>
      </c>
      <c r="F16" s="1" t="s">
        <v>46</v>
      </c>
      <c r="G16" s="1" t="s">
        <v>32</v>
      </c>
      <c r="H16" s="1" t="s">
        <v>46</v>
      </c>
      <c r="I16" s="1" t="s">
        <v>33</v>
      </c>
      <c r="J16" s="1" t="s">
        <v>46</v>
      </c>
      <c r="K16" s="1" t="s">
        <v>26</v>
      </c>
      <c r="L16" s="1" t="s">
        <v>46</v>
      </c>
      <c r="M16" s="1" t="s">
        <v>47</v>
      </c>
      <c r="N16" s="5">
        <v>48.86</v>
      </c>
      <c r="O16" s="27">
        <v>7</v>
      </c>
      <c r="P16" s="5">
        <v>14.169399999999996</v>
      </c>
      <c r="Q16" s="5">
        <v>6.98</v>
      </c>
    </row>
    <row r="17" spans="1:17">
      <c r="A17" s="1">
        <v>7</v>
      </c>
      <c r="B17" s="1" t="s">
        <v>44</v>
      </c>
      <c r="C17" s="1">
        <v>115812</v>
      </c>
      <c r="D17" s="7">
        <v>41804</v>
      </c>
      <c r="E17" s="1" t="s">
        <v>45</v>
      </c>
      <c r="F17" s="1" t="s">
        <v>48</v>
      </c>
      <c r="G17" s="1" t="s">
        <v>32</v>
      </c>
      <c r="H17" s="1" t="s">
        <v>48</v>
      </c>
      <c r="I17" s="1" t="s">
        <v>33</v>
      </c>
      <c r="J17" s="1" t="s">
        <v>48</v>
      </c>
      <c r="K17" s="1" t="s">
        <v>35</v>
      </c>
      <c r="L17" s="1" t="s">
        <v>48</v>
      </c>
      <c r="M17" s="1" t="s">
        <v>49</v>
      </c>
      <c r="N17" s="5">
        <v>7.28</v>
      </c>
      <c r="O17" s="27">
        <v>4</v>
      </c>
      <c r="P17" s="5">
        <v>1.9656000000000002</v>
      </c>
      <c r="Q17" s="5">
        <v>1.82</v>
      </c>
    </row>
    <row r="18" spans="1:17">
      <c r="A18" s="1">
        <v>8</v>
      </c>
      <c r="B18" s="1" t="s">
        <v>44</v>
      </c>
      <c r="C18" s="1">
        <v>115812</v>
      </c>
      <c r="D18" s="7">
        <v>41804</v>
      </c>
      <c r="E18" s="1" t="s">
        <v>45</v>
      </c>
      <c r="F18" s="1" t="s">
        <v>50</v>
      </c>
      <c r="G18" s="1" t="s">
        <v>32</v>
      </c>
      <c r="H18" s="1" t="s">
        <v>50</v>
      </c>
      <c r="I18" s="1" t="s">
        <v>33</v>
      </c>
      <c r="J18" s="1" t="s">
        <v>50</v>
      </c>
      <c r="K18" s="1" t="s">
        <v>51</v>
      </c>
      <c r="L18" s="1" t="s">
        <v>50</v>
      </c>
      <c r="M18" s="1" t="s">
        <v>52</v>
      </c>
      <c r="N18" s="5">
        <v>907.15200000000004</v>
      </c>
      <c r="O18" s="27">
        <v>6</v>
      </c>
      <c r="P18" s="5">
        <v>90.715200000000038</v>
      </c>
      <c r="Q18" s="5">
        <v>151.19200000000001</v>
      </c>
    </row>
    <row r="19" spans="1:17">
      <c r="A19" s="1">
        <v>9</v>
      </c>
      <c r="B19" s="1" t="s">
        <v>44</v>
      </c>
      <c r="C19" s="1">
        <v>115812</v>
      </c>
      <c r="D19" s="7">
        <v>41804</v>
      </c>
      <c r="E19" s="1" t="s">
        <v>45</v>
      </c>
      <c r="F19" s="1" t="s">
        <v>53</v>
      </c>
      <c r="G19" s="1" t="s">
        <v>32</v>
      </c>
      <c r="H19" s="1" t="s">
        <v>53</v>
      </c>
      <c r="I19" s="1" t="s">
        <v>33</v>
      </c>
      <c r="J19" s="1" t="s">
        <v>53</v>
      </c>
      <c r="K19" s="1" t="s">
        <v>35</v>
      </c>
      <c r="L19" s="1" t="s">
        <v>53</v>
      </c>
      <c r="M19" s="1" t="s">
        <v>54</v>
      </c>
      <c r="N19" s="5">
        <v>18.504000000000001</v>
      </c>
      <c r="O19" s="27">
        <v>3</v>
      </c>
      <c r="P19" s="5">
        <v>5.7824999999999998</v>
      </c>
      <c r="Q19" s="5">
        <v>6.1680000000000001</v>
      </c>
    </row>
    <row r="20" spans="1:17">
      <c r="A20" s="1">
        <v>10</v>
      </c>
      <c r="B20" s="1" t="s">
        <v>44</v>
      </c>
      <c r="C20" s="1">
        <v>115812</v>
      </c>
      <c r="D20" s="7">
        <v>41804</v>
      </c>
      <c r="E20" s="1" t="s">
        <v>45</v>
      </c>
      <c r="F20" s="1" t="s">
        <v>55</v>
      </c>
      <c r="G20" s="1" t="s">
        <v>32</v>
      </c>
      <c r="H20" s="1" t="s">
        <v>55</v>
      </c>
      <c r="I20" s="1" t="s">
        <v>33</v>
      </c>
      <c r="J20" s="1" t="s">
        <v>55</v>
      </c>
      <c r="K20" s="1" t="s">
        <v>35</v>
      </c>
      <c r="L20" s="1" t="s">
        <v>55</v>
      </c>
      <c r="M20" s="1" t="s">
        <v>56</v>
      </c>
      <c r="N20" s="5">
        <v>114.9</v>
      </c>
      <c r="O20" s="27">
        <v>5</v>
      </c>
      <c r="P20" s="5">
        <v>34.469999999999992</v>
      </c>
      <c r="Q20" s="5">
        <v>22.98</v>
      </c>
    </row>
    <row r="21" spans="1:17">
      <c r="A21" s="1">
        <v>11</v>
      </c>
      <c r="B21" s="1" t="s">
        <v>44</v>
      </c>
      <c r="C21" s="1">
        <v>115812</v>
      </c>
      <c r="D21" s="7">
        <v>41804</v>
      </c>
      <c r="E21" s="1" t="s">
        <v>45</v>
      </c>
      <c r="F21" s="1" t="s">
        <v>57</v>
      </c>
      <c r="G21" s="1" t="s">
        <v>32</v>
      </c>
      <c r="H21" s="1" t="s">
        <v>57</v>
      </c>
      <c r="I21" s="1" t="s">
        <v>33</v>
      </c>
      <c r="J21" s="1" t="s">
        <v>57</v>
      </c>
      <c r="K21" s="1" t="s">
        <v>26</v>
      </c>
      <c r="L21" s="1" t="s">
        <v>57</v>
      </c>
      <c r="M21" s="1" t="s">
        <v>41</v>
      </c>
      <c r="N21" s="5">
        <v>1706.1840000000002</v>
      </c>
      <c r="O21" s="27">
        <v>9</v>
      </c>
      <c r="P21" s="5">
        <v>85.309199999999805</v>
      </c>
      <c r="Q21" s="5">
        <v>189.57599999999999</v>
      </c>
    </row>
    <row r="22" spans="1:17">
      <c r="A22" s="1">
        <v>12</v>
      </c>
      <c r="B22" s="1" t="s">
        <v>44</v>
      </c>
      <c r="C22" s="1">
        <v>115812</v>
      </c>
      <c r="D22" s="7">
        <v>41804</v>
      </c>
      <c r="E22" s="1" t="s">
        <v>45</v>
      </c>
      <c r="F22" s="1" t="s">
        <v>58</v>
      </c>
      <c r="G22" s="1" t="s">
        <v>32</v>
      </c>
      <c r="H22" s="1" t="s">
        <v>58</v>
      </c>
      <c r="I22" s="1" t="s">
        <v>33</v>
      </c>
      <c r="J22" s="1" t="s">
        <v>58</v>
      </c>
      <c r="K22" s="1" t="s">
        <v>51</v>
      </c>
      <c r="L22" s="1" t="s">
        <v>58</v>
      </c>
      <c r="M22" s="1" t="s">
        <v>52</v>
      </c>
      <c r="N22" s="5">
        <v>911.42399999999998</v>
      </c>
      <c r="O22" s="27">
        <v>4</v>
      </c>
      <c r="P22" s="5">
        <v>68.356800000000021</v>
      </c>
      <c r="Q22" s="5">
        <v>227.85599999999999</v>
      </c>
    </row>
    <row r="23" spans="1:17">
      <c r="A23" s="1">
        <v>13</v>
      </c>
      <c r="B23" s="1" t="s">
        <v>59</v>
      </c>
      <c r="C23" s="1">
        <v>114412</v>
      </c>
      <c r="D23" s="7">
        <v>42845</v>
      </c>
      <c r="E23" s="1" t="s">
        <v>60</v>
      </c>
      <c r="F23" s="1" t="s">
        <v>62</v>
      </c>
      <c r="G23" s="1" t="s">
        <v>61</v>
      </c>
      <c r="H23" s="1" t="s">
        <v>62</v>
      </c>
      <c r="I23" s="1" t="s">
        <v>24</v>
      </c>
      <c r="J23" s="1" t="s">
        <v>62</v>
      </c>
      <c r="K23" s="1" t="s">
        <v>35</v>
      </c>
      <c r="L23" s="1" t="s">
        <v>62</v>
      </c>
      <c r="M23" s="1" t="s">
        <v>63</v>
      </c>
      <c r="N23" s="5">
        <v>15.552000000000003</v>
      </c>
      <c r="O23" s="27">
        <v>3</v>
      </c>
      <c r="P23" s="5">
        <v>5.4432</v>
      </c>
      <c r="Q23" s="5">
        <v>5.1840000000000002</v>
      </c>
    </row>
    <row r="24" spans="1:17">
      <c r="A24" s="1">
        <v>14</v>
      </c>
      <c r="B24" s="1" t="s">
        <v>64</v>
      </c>
      <c r="C24" s="1">
        <v>161389</v>
      </c>
      <c r="D24" s="7">
        <v>42714</v>
      </c>
      <c r="E24" s="1" t="s">
        <v>65</v>
      </c>
      <c r="F24" s="1" t="s">
        <v>67</v>
      </c>
      <c r="G24" s="1" t="s">
        <v>66</v>
      </c>
      <c r="H24" s="1" t="s">
        <v>67</v>
      </c>
      <c r="I24" s="1" t="s">
        <v>33</v>
      </c>
      <c r="J24" s="1" t="s">
        <v>67</v>
      </c>
      <c r="K24" s="1" t="s">
        <v>35</v>
      </c>
      <c r="L24" s="1" t="s">
        <v>67</v>
      </c>
      <c r="M24" s="1" t="s">
        <v>54</v>
      </c>
      <c r="N24" s="5">
        <v>407.97600000000006</v>
      </c>
      <c r="O24" s="27">
        <v>3</v>
      </c>
      <c r="P24" s="5">
        <v>132.59219999999993</v>
      </c>
      <c r="Q24" s="5">
        <v>135.99199999999999</v>
      </c>
    </row>
    <row r="25" spans="1:17">
      <c r="A25" s="1">
        <v>15</v>
      </c>
      <c r="B25" s="1" t="s">
        <v>68</v>
      </c>
      <c r="C25" s="1">
        <v>118983</v>
      </c>
      <c r="D25" s="7">
        <v>42334</v>
      </c>
      <c r="E25" s="1" t="s">
        <v>69</v>
      </c>
      <c r="F25" s="1" t="s">
        <v>72</v>
      </c>
      <c r="G25" s="1" t="s">
        <v>70</v>
      </c>
      <c r="H25" s="1" t="s">
        <v>72</v>
      </c>
      <c r="I25" s="1" t="s">
        <v>71</v>
      </c>
      <c r="J25" s="1" t="s">
        <v>72</v>
      </c>
      <c r="K25" s="1" t="s">
        <v>35</v>
      </c>
      <c r="L25" s="1" t="s">
        <v>72</v>
      </c>
      <c r="M25" s="1" t="s">
        <v>56</v>
      </c>
      <c r="N25" s="5">
        <v>68.809999999999988</v>
      </c>
      <c r="O25" s="27">
        <v>5</v>
      </c>
      <c r="P25" s="5">
        <v>-123.858</v>
      </c>
      <c r="Q25" s="5">
        <v>13.762</v>
      </c>
    </row>
    <row r="26" spans="1:17">
      <c r="A26" s="1">
        <v>16</v>
      </c>
      <c r="B26" s="1" t="s">
        <v>68</v>
      </c>
      <c r="C26" s="1">
        <v>118983</v>
      </c>
      <c r="D26" s="7">
        <v>42334</v>
      </c>
      <c r="E26" s="1" t="s">
        <v>69</v>
      </c>
      <c r="F26" s="1" t="s">
        <v>73</v>
      </c>
      <c r="G26" s="1" t="s">
        <v>70</v>
      </c>
      <c r="H26" s="1" t="s">
        <v>73</v>
      </c>
      <c r="I26" s="1" t="s">
        <v>71</v>
      </c>
      <c r="J26" s="1" t="s">
        <v>73</v>
      </c>
      <c r="K26" s="1" t="s">
        <v>35</v>
      </c>
      <c r="L26" s="1" t="s">
        <v>73</v>
      </c>
      <c r="M26" s="1" t="s">
        <v>54</v>
      </c>
      <c r="N26" s="5">
        <v>2.5439999999999996</v>
      </c>
      <c r="O26" s="27">
        <v>3</v>
      </c>
      <c r="P26" s="5">
        <v>-3.8160000000000016</v>
      </c>
      <c r="Q26" s="5">
        <v>0.84799999999999998</v>
      </c>
    </row>
    <row r="27" spans="1:17">
      <c r="A27" s="1">
        <v>17</v>
      </c>
      <c r="B27" s="1" t="s">
        <v>74</v>
      </c>
      <c r="C27" s="1">
        <v>105893</v>
      </c>
      <c r="D27" s="7">
        <v>41961</v>
      </c>
      <c r="E27" s="1" t="s">
        <v>75</v>
      </c>
      <c r="F27" s="1" t="s">
        <v>77</v>
      </c>
      <c r="G27" s="1" t="s">
        <v>76</v>
      </c>
      <c r="H27" s="1" t="s">
        <v>77</v>
      </c>
      <c r="I27" s="1" t="s">
        <v>71</v>
      </c>
      <c r="J27" s="1" t="s">
        <v>77</v>
      </c>
      <c r="K27" s="1" t="s">
        <v>35</v>
      </c>
      <c r="L27" s="1" t="s">
        <v>77</v>
      </c>
      <c r="M27" s="1" t="s">
        <v>43</v>
      </c>
      <c r="N27" s="5">
        <v>665.88</v>
      </c>
      <c r="O27" s="27">
        <v>6</v>
      </c>
      <c r="P27" s="5">
        <v>13.317599999999999</v>
      </c>
      <c r="Q27" s="5">
        <v>110.98</v>
      </c>
    </row>
    <row r="28" spans="1:17">
      <c r="A28" s="1">
        <v>18</v>
      </c>
      <c r="B28" s="1" t="s">
        <v>78</v>
      </c>
      <c r="C28" s="1">
        <v>167164</v>
      </c>
      <c r="D28" s="7">
        <v>41774</v>
      </c>
      <c r="E28" s="1" t="s">
        <v>79</v>
      </c>
      <c r="F28" s="1" t="s">
        <v>81</v>
      </c>
      <c r="G28" s="1" t="s">
        <v>80</v>
      </c>
      <c r="H28" s="1" t="s">
        <v>81</v>
      </c>
      <c r="I28" s="1" t="s">
        <v>33</v>
      </c>
      <c r="J28" s="1" t="s">
        <v>81</v>
      </c>
      <c r="K28" s="1" t="s">
        <v>35</v>
      </c>
      <c r="L28" s="1" t="s">
        <v>81</v>
      </c>
      <c r="M28" s="1" t="s">
        <v>43</v>
      </c>
      <c r="N28" s="5">
        <v>55.5</v>
      </c>
      <c r="O28" s="27">
        <v>2</v>
      </c>
      <c r="P28" s="5">
        <v>9.9899999999999949</v>
      </c>
      <c r="Q28" s="5">
        <v>27.75</v>
      </c>
    </row>
    <row r="29" spans="1:17">
      <c r="A29" s="1">
        <v>19</v>
      </c>
      <c r="B29" s="1" t="s">
        <v>82</v>
      </c>
      <c r="C29" s="1">
        <v>143336</v>
      </c>
      <c r="D29" s="7">
        <v>41883</v>
      </c>
      <c r="E29" s="1" t="s">
        <v>83</v>
      </c>
      <c r="F29" s="1" t="s">
        <v>84</v>
      </c>
      <c r="G29" s="1" t="s">
        <v>32</v>
      </c>
      <c r="H29" s="1" t="s">
        <v>84</v>
      </c>
      <c r="I29" s="1" t="s">
        <v>33</v>
      </c>
      <c r="J29" s="1" t="s">
        <v>84</v>
      </c>
      <c r="K29" s="1" t="s">
        <v>35</v>
      </c>
      <c r="L29" s="1" t="s">
        <v>84</v>
      </c>
      <c r="M29" s="1" t="s">
        <v>49</v>
      </c>
      <c r="N29" s="5">
        <v>8.56</v>
      </c>
      <c r="O29" s="27">
        <v>2</v>
      </c>
      <c r="P29" s="5">
        <v>2.4823999999999993</v>
      </c>
      <c r="Q29" s="5">
        <v>4.28</v>
      </c>
    </row>
    <row r="30" spans="1:17">
      <c r="A30" s="1">
        <v>20</v>
      </c>
      <c r="B30" s="1" t="s">
        <v>82</v>
      </c>
      <c r="C30" s="1">
        <v>143336</v>
      </c>
      <c r="D30" s="7">
        <v>41883</v>
      </c>
      <c r="E30" s="1" t="s">
        <v>83</v>
      </c>
      <c r="F30" s="1" t="s">
        <v>85</v>
      </c>
      <c r="G30" s="1" t="s">
        <v>32</v>
      </c>
      <c r="H30" s="1" t="s">
        <v>85</v>
      </c>
      <c r="I30" s="1" t="s">
        <v>33</v>
      </c>
      <c r="J30" s="1" t="s">
        <v>85</v>
      </c>
      <c r="K30" s="1" t="s">
        <v>51</v>
      </c>
      <c r="L30" s="1" t="s">
        <v>85</v>
      </c>
      <c r="M30" s="1" t="s">
        <v>52</v>
      </c>
      <c r="N30" s="5">
        <v>213.48000000000002</v>
      </c>
      <c r="O30" s="27">
        <v>3</v>
      </c>
      <c r="P30" s="5">
        <v>16.010999999999981</v>
      </c>
      <c r="Q30" s="5">
        <v>71.16</v>
      </c>
    </row>
    <row r="31" spans="1:17">
      <c r="A31" s="1">
        <v>21</v>
      </c>
      <c r="B31" s="1" t="s">
        <v>82</v>
      </c>
      <c r="C31" s="1">
        <v>143336</v>
      </c>
      <c r="D31" s="7">
        <v>41883</v>
      </c>
      <c r="E31" s="1" t="s">
        <v>83</v>
      </c>
      <c r="F31" s="1" t="s">
        <v>86</v>
      </c>
      <c r="G31" s="1" t="s">
        <v>32</v>
      </c>
      <c r="H31" s="1" t="s">
        <v>86</v>
      </c>
      <c r="I31" s="1" t="s">
        <v>33</v>
      </c>
      <c r="J31" s="1" t="s">
        <v>86</v>
      </c>
      <c r="K31" s="1" t="s">
        <v>35</v>
      </c>
      <c r="L31" s="1" t="s">
        <v>86</v>
      </c>
      <c r="M31" s="1" t="s">
        <v>54</v>
      </c>
      <c r="N31" s="5">
        <v>22.72</v>
      </c>
      <c r="O31" s="27">
        <v>4</v>
      </c>
      <c r="P31" s="5">
        <v>7.3839999999999986</v>
      </c>
      <c r="Q31" s="5">
        <v>5.68</v>
      </c>
    </row>
    <row r="32" spans="1:17">
      <c r="A32" s="1">
        <v>22</v>
      </c>
      <c r="B32" s="1" t="s">
        <v>87</v>
      </c>
      <c r="C32" s="1">
        <v>137330</v>
      </c>
      <c r="D32" s="7">
        <v>42717</v>
      </c>
      <c r="E32" s="1" t="s">
        <v>88</v>
      </c>
      <c r="F32" s="1" t="s">
        <v>90</v>
      </c>
      <c r="G32" s="1" t="s">
        <v>89</v>
      </c>
      <c r="H32" s="1" t="s">
        <v>90</v>
      </c>
      <c r="I32" s="1" t="s">
        <v>71</v>
      </c>
      <c r="J32" s="1" t="s">
        <v>90</v>
      </c>
      <c r="K32" s="1" t="s">
        <v>35</v>
      </c>
      <c r="L32" s="1" t="s">
        <v>90</v>
      </c>
      <c r="M32" s="1" t="s">
        <v>49</v>
      </c>
      <c r="N32" s="5">
        <v>19.459999999999997</v>
      </c>
      <c r="O32" s="27">
        <v>7</v>
      </c>
      <c r="P32" s="5">
        <v>5.0595999999999997</v>
      </c>
      <c r="Q32" s="5">
        <v>2.78</v>
      </c>
    </row>
    <row r="33" spans="1:17">
      <c r="A33" s="1">
        <v>23</v>
      </c>
      <c r="B33" s="1" t="s">
        <v>87</v>
      </c>
      <c r="C33" s="1">
        <v>137330</v>
      </c>
      <c r="D33" s="7">
        <v>42717</v>
      </c>
      <c r="E33" s="1" t="s">
        <v>88</v>
      </c>
      <c r="F33" s="1" t="s">
        <v>91</v>
      </c>
      <c r="G33" s="1" t="s">
        <v>89</v>
      </c>
      <c r="H33" s="1" t="s">
        <v>91</v>
      </c>
      <c r="I33" s="1" t="s">
        <v>71</v>
      </c>
      <c r="J33" s="1" t="s">
        <v>91</v>
      </c>
      <c r="K33" s="1" t="s">
        <v>35</v>
      </c>
      <c r="L33" s="1" t="s">
        <v>91</v>
      </c>
      <c r="M33" s="1" t="s">
        <v>56</v>
      </c>
      <c r="N33" s="5">
        <v>60.339999999999996</v>
      </c>
      <c r="O33" s="27">
        <v>7</v>
      </c>
      <c r="P33" s="5">
        <v>15.688400000000001</v>
      </c>
      <c r="Q33" s="5">
        <v>8.6199999999999992</v>
      </c>
    </row>
    <row r="34" spans="1:17">
      <c r="A34" s="1">
        <v>24</v>
      </c>
      <c r="B34" s="1" t="s">
        <v>92</v>
      </c>
      <c r="C34" s="1">
        <v>156909</v>
      </c>
      <c r="D34" s="7">
        <v>42934</v>
      </c>
      <c r="E34" s="1" t="s">
        <v>93</v>
      </c>
      <c r="F34" s="1" t="s">
        <v>96</v>
      </c>
      <c r="G34" s="1" t="s">
        <v>94</v>
      </c>
      <c r="H34" s="1" t="s">
        <v>96</v>
      </c>
      <c r="I34" s="1" t="s">
        <v>95</v>
      </c>
      <c r="J34" s="1" t="s">
        <v>96</v>
      </c>
      <c r="K34" s="1" t="s">
        <v>26</v>
      </c>
      <c r="L34" s="1" t="s">
        <v>96</v>
      </c>
      <c r="M34" s="1" t="s">
        <v>29</v>
      </c>
      <c r="N34" s="5">
        <v>71.371999999999986</v>
      </c>
      <c r="O34" s="27">
        <v>2</v>
      </c>
      <c r="P34" s="5">
        <v>-1.0196000000000005</v>
      </c>
      <c r="Q34" s="5">
        <v>35.686</v>
      </c>
    </row>
    <row r="35" spans="1:17">
      <c r="A35" s="1">
        <v>25</v>
      </c>
      <c r="B35" s="1" t="s">
        <v>97</v>
      </c>
      <c r="C35" s="1">
        <v>106320</v>
      </c>
      <c r="D35" s="7">
        <v>42277</v>
      </c>
      <c r="E35" s="1" t="s">
        <v>98</v>
      </c>
      <c r="F35" s="1" t="s">
        <v>40</v>
      </c>
      <c r="G35" s="1" t="s">
        <v>80</v>
      </c>
      <c r="H35" s="1" t="s">
        <v>40</v>
      </c>
      <c r="I35" s="1" t="s">
        <v>33</v>
      </c>
      <c r="J35" s="1" t="s">
        <v>40</v>
      </c>
      <c r="K35" s="1" t="s">
        <v>26</v>
      </c>
      <c r="L35" s="1" t="s">
        <v>40</v>
      </c>
      <c r="M35" s="1" t="s">
        <v>41</v>
      </c>
      <c r="N35" s="5">
        <v>1044.6299999999999</v>
      </c>
      <c r="O35" s="27">
        <v>3</v>
      </c>
      <c r="P35" s="5">
        <v>240.26490000000001</v>
      </c>
      <c r="Q35" s="5">
        <v>348.21</v>
      </c>
    </row>
    <row r="36" spans="1:17">
      <c r="A36" s="1">
        <v>26</v>
      </c>
      <c r="B36" s="1" t="s">
        <v>99</v>
      </c>
      <c r="C36" s="1">
        <v>121755</v>
      </c>
      <c r="D36" s="7">
        <v>42389</v>
      </c>
      <c r="E36" s="1" t="s">
        <v>100</v>
      </c>
      <c r="F36" s="1" t="s">
        <v>101</v>
      </c>
      <c r="G36" s="1" t="s">
        <v>32</v>
      </c>
      <c r="H36" s="1" t="s">
        <v>101</v>
      </c>
      <c r="I36" s="1" t="s">
        <v>33</v>
      </c>
      <c r="J36" s="1" t="s">
        <v>101</v>
      </c>
      <c r="K36" s="1" t="s">
        <v>35</v>
      </c>
      <c r="L36" s="1" t="s">
        <v>101</v>
      </c>
      <c r="M36" s="1" t="s">
        <v>54</v>
      </c>
      <c r="N36" s="5">
        <v>11.648000000000001</v>
      </c>
      <c r="O36" s="27">
        <v>2</v>
      </c>
      <c r="P36" s="5">
        <v>4.2224000000000004</v>
      </c>
      <c r="Q36" s="5">
        <v>5.8239999999999998</v>
      </c>
    </row>
    <row r="37" spans="1:17">
      <c r="A37" s="1">
        <v>27</v>
      </c>
      <c r="B37" s="1" t="s">
        <v>99</v>
      </c>
      <c r="C37" s="1">
        <v>121755</v>
      </c>
      <c r="D37" s="7">
        <v>42389</v>
      </c>
      <c r="E37" s="1" t="s">
        <v>100</v>
      </c>
      <c r="F37" s="1" t="s">
        <v>102</v>
      </c>
      <c r="G37" s="1" t="s">
        <v>32</v>
      </c>
      <c r="H37" s="1" t="s">
        <v>102</v>
      </c>
      <c r="I37" s="1" t="s">
        <v>33</v>
      </c>
      <c r="J37" s="1" t="s">
        <v>102</v>
      </c>
      <c r="K37" s="1" t="s">
        <v>51</v>
      </c>
      <c r="L37" s="1" t="s">
        <v>102</v>
      </c>
      <c r="M37" s="1" t="s">
        <v>103</v>
      </c>
      <c r="N37" s="5">
        <v>90.570000000000007</v>
      </c>
      <c r="O37" s="27">
        <v>3</v>
      </c>
      <c r="P37" s="5">
        <v>11.774100000000004</v>
      </c>
      <c r="Q37" s="5">
        <v>30.19</v>
      </c>
    </row>
    <row r="38" spans="1:17">
      <c r="A38" s="1">
        <v>28</v>
      </c>
      <c r="B38" s="1" t="s">
        <v>104</v>
      </c>
      <c r="C38" s="1">
        <v>150630</v>
      </c>
      <c r="D38" s="7">
        <v>42268</v>
      </c>
      <c r="E38" s="1" t="s">
        <v>105</v>
      </c>
      <c r="F38" s="1" t="s">
        <v>106</v>
      </c>
      <c r="G38" s="1" t="s">
        <v>94</v>
      </c>
      <c r="H38" s="1" t="s">
        <v>106</v>
      </c>
      <c r="I38" s="1" t="s">
        <v>95</v>
      </c>
      <c r="J38" s="1" t="s">
        <v>106</v>
      </c>
      <c r="K38" s="1" t="s">
        <v>26</v>
      </c>
      <c r="L38" s="1" t="s">
        <v>106</v>
      </c>
      <c r="M38" s="1" t="s">
        <v>27</v>
      </c>
      <c r="N38" s="5">
        <v>3083.4300000000003</v>
      </c>
      <c r="O38" s="27">
        <v>7</v>
      </c>
      <c r="P38" s="5">
        <v>-1665.0522000000001</v>
      </c>
      <c r="Q38" s="5">
        <v>440.49</v>
      </c>
    </row>
    <row r="39" spans="1:17">
      <c r="A39" s="1">
        <v>29</v>
      </c>
      <c r="B39" s="1" t="s">
        <v>104</v>
      </c>
      <c r="C39" s="1">
        <v>150630</v>
      </c>
      <c r="D39" s="7">
        <v>42268</v>
      </c>
      <c r="E39" s="1" t="s">
        <v>105</v>
      </c>
      <c r="F39" s="1" t="s">
        <v>107</v>
      </c>
      <c r="G39" s="1" t="s">
        <v>94</v>
      </c>
      <c r="H39" s="1" t="s">
        <v>107</v>
      </c>
      <c r="I39" s="1" t="s">
        <v>95</v>
      </c>
      <c r="J39" s="1" t="s">
        <v>107</v>
      </c>
      <c r="K39" s="1" t="s">
        <v>35</v>
      </c>
      <c r="L39" s="1" t="s">
        <v>107</v>
      </c>
      <c r="M39" s="1" t="s">
        <v>54</v>
      </c>
      <c r="N39" s="5">
        <v>9.6180000000000021</v>
      </c>
      <c r="O39" s="27">
        <v>2</v>
      </c>
      <c r="P39" s="5">
        <v>-7.0532000000000004</v>
      </c>
      <c r="Q39" s="5">
        <v>4.8090000000000002</v>
      </c>
    </row>
    <row r="40" spans="1:17">
      <c r="A40" s="1">
        <v>30</v>
      </c>
      <c r="B40" s="1" t="s">
        <v>104</v>
      </c>
      <c r="C40" s="1">
        <v>150630</v>
      </c>
      <c r="D40" s="7">
        <v>42268</v>
      </c>
      <c r="E40" s="1" t="s">
        <v>105</v>
      </c>
      <c r="F40" s="1" t="s">
        <v>108</v>
      </c>
      <c r="G40" s="1" t="s">
        <v>94</v>
      </c>
      <c r="H40" s="1" t="s">
        <v>108</v>
      </c>
      <c r="I40" s="1" t="s">
        <v>95</v>
      </c>
      <c r="J40" s="1" t="s">
        <v>108</v>
      </c>
      <c r="K40" s="1" t="s">
        <v>26</v>
      </c>
      <c r="L40" s="1" t="s">
        <v>108</v>
      </c>
      <c r="M40" s="1" t="s">
        <v>47</v>
      </c>
      <c r="N40" s="5">
        <v>124.20000000000002</v>
      </c>
      <c r="O40" s="27">
        <v>3</v>
      </c>
      <c r="P40" s="5">
        <v>15.524999999999991</v>
      </c>
      <c r="Q40" s="5">
        <v>41.4</v>
      </c>
    </row>
    <row r="41" spans="1:17">
      <c r="A41" s="1">
        <v>31</v>
      </c>
      <c r="B41" s="1" t="s">
        <v>104</v>
      </c>
      <c r="C41" s="1">
        <v>150630</v>
      </c>
      <c r="D41" s="7">
        <v>42268</v>
      </c>
      <c r="E41" s="1" t="s">
        <v>105</v>
      </c>
      <c r="F41" s="1" t="s">
        <v>109</v>
      </c>
      <c r="G41" s="1" t="s">
        <v>94</v>
      </c>
      <c r="H41" s="1" t="s">
        <v>109</v>
      </c>
      <c r="I41" s="1" t="s">
        <v>95</v>
      </c>
      <c r="J41" s="1" t="s">
        <v>109</v>
      </c>
      <c r="K41" s="1" t="s">
        <v>35</v>
      </c>
      <c r="L41" s="1" t="s">
        <v>109</v>
      </c>
      <c r="M41" s="1" t="s">
        <v>110</v>
      </c>
      <c r="N41" s="5">
        <v>3.2640000000000002</v>
      </c>
      <c r="O41" s="27">
        <v>2</v>
      </c>
      <c r="P41" s="5">
        <v>1.1015999999999997</v>
      </c>
      <c r="Q41" s="5">
        <v>1.6319999999999999</v>
      </c>
    </row>
    <row r="42" spans="1:17">
      <c r="A42" s="1">
        <v>32</v>
      </c>
      <c r="B42" s="1" t="s">
        <v>104</v>
      </c>
      <c r="C42" s="1">
        <v>150630</v>
      </c>
      <c r="D42" s="7">
        <v>42268</v>
      </c>
      <c r="E42" s="1" t="s">
        <v>105</v>
      </c>
      <c r="F42" s="1" t="s">
        <v>111</v>
      </c>
      <c r="G42" s="1" t="s">
        <v>94</v>
      </c>
      <c r="H42" s="1" t="s">
        <v>111</v>
      </c>
      <c r="I42" s="1" t="s">
        <v>95</v>
      </c>
      <c r="J42" s="1" t="s">
        <v>111</v>
      </c>
      <c r="K42" s="1" t="s">
        <v>35</v>
      </c>
      <c r="L42" s="1" t="s">
        <v>111</v>
      </c>
      <c r="M42" s="1" t="s">
        <v>49</v>
      </c>
      <c r="N42" s="5">
        <v>86.304000000000002</v>
      </c>
      <c r="O42" s="27">
        <v>6</v>
      </c>
      <c r="P42" s="5">
        <v>9.7091999999999885</v>
      </c>
      <c r="Q42" s="5">
        <v>14.384</v>
      </c>
    </row>
    <row r="43" spans="1:17">
      <c r="A43" s="1">
        <v>33</v>
      </c>
      <c r="B43" s="1" t="s">
        <v>104</v>
      </c>
      <c r="C43" s="1">
        <v>150630</v>
      </c>
      <c r="D43" s="7">
        <v>42268</v>
      </c>
      <c r="E43" s="1" t="s">
        <v>105</v>
      </c>
      <c r="F43" s="1" t="s">
        <v>112</v>
      </c>
      <c r="G43" s="1" t="s">
        <v>94</v>
      </c>
      <c r="H43" s="1" t="s">
        <v>112</v>
      </c>
      <c r="I43" s="1" t="s">
        <v>95</v>
      </c>
      <c r="J43" s="1" t="s">
        <v>112</v>
      </c>
      <c r="K43" s="1" t="s">
        <v>35</v>
      </c>
      <c r="L43" s="1" t="s">
        <v>112</v>
      </c>
      <c r="M43" s="1" t="s">
        <v>54</v>
      </c>
      <c r="N43" s="5">
        <v>6.8580000000000014</v>
      </c>
      <c r="O43" s="27">
        <v>6</v>
      </c>
      <c r="P43" s="5">
        <v>-5.7149999999999999</v>
      </c>
      <c r="Q43" s="5">
        <v>1.143</v>
      </c>
    </row>
    <row r="44" spans="1:17">
      <c r="A44" s="1">
        <v>34</v>
      </c>
      <c r="B44" s="1" t="s">
        <v>104</v>
      </c>
      <c r="C44" s="1">
        <v>150630</v>
      </c>
      <c r="D44" s="7">
        <v>42268</v>
      </c>
      <c r="E44" s="1" t="s">
        <v>105</v>
      </c>
      <c r="F44" s="1" t="s">
        <v>113</v>
      </c>
      <c r="G44" s="1" t="s">
        <v>94</v>
      </c>
      <c r="H44" s="1" t="s">
        <v>113</v>
      </c>
      <c r="I44" s="1" t="s">
        <v>95</v>
      </c>
      <c r="J44" s="1" t="s">
        <v>113</v>
      </c>
      <c r="K44" s="1" t="s">
        <v>35</v>
      </c>
      <c r="L44" s="1" t="s">
        <v>113</v>
      </c>
      <c r="M44" s="1" t="s">
        <v>49</v>
      </c>
      <c r="N44" s="5">
        <v>15.76</v>
      </c>
      <c r="O44" s="27">
        <v>2</v>
      </c>
      <c r="P44" s="5">
        <v>3.5460000000000007</v>
      </c>
      <c r="Q44" s="5">
        <v>7.88</v>
      </c>
    </row>
    <row r="45" spans="1:17">
      <c r="A45" s="1">
        <v>35</v>
      </c>
      <c r="B45" s="1" t="s">
        <v>114</v>
      </c>
      <c r="C45" s="1">
        <v>107727</v>
      </c>
      <c r="D45" s="7">
        <v>43031</v>
      </c>
      <c r="E45" s="1" t="s">
        <v>115</v>
      </c>
      <c r="F45" s="1" t="s">
        <v>116</v>
      </c>
      <c r="G45" s="1" t="s">
        <v>70</v>
      </c>
      <c r="H45" s="1" t="s">
        <v>116</v>
      </c>
      <c r="I45" s="1" t="s">
        <v>71</v>
      </c>
      <c r="J45" s="1" t="s">
        <v>116</v>
      </c>
      <c r="K45" s="1" t="s">
        <v>35</v>
      </c>
      <c r="L45" s="1" t="s">
        <v>116</v>
      </c>
      <c r="M45" s="1" t="s">
        <v>63</v>
      </c>
      <c r="N45" s="5">
        <v>29.472000000000001</v>
      </c>
      <c r="O45" s="27">
        <v>3</v>
      </c>
      <c r="P45" s="5">
        <v>9.9467999999999979</v>
      </c>
      <c r="Q45" s="5">
        <v>9.8239999999999998</v>
      </c>
    </row>
    <row r="46" spans="1:17">
      <c r="A46" s="1">
        <v>36</v>
      </c>
      <c r="B46" s="1" t="s">
        <v>117</v>
      </c>
      <c r="C46" s="1">
        <v>117590</v>
      </c>
      <c r="D46" s="7">
        <v>42714</v>
      </c>
      <c r="E46" s="1" t="s">
        <v>118</v>
      </c>
      <c r="F46" s="1" t="s">
        <v>119</v>
      </c>
      <c r="G46" s="1" t="s">
        <v>70</v>
      </c>
      <c r="H46" s="1" t="s">
        <v>119</v>
      </c>
      <c r="I46" s="1" t="s">
        <v>71</v>
      </c>
      <c r="J46" s="1" t="s">
        <v>119</v>
      </c>
      <c r="K46" s="1" t="s">
        <v>51</v>
      </c>
      <c r="L46" s="1" t="s">
        <v>119</v>
      </c>
      <c r="M46" s="1" t="s">
        <v>52</v>
      </c>
      <c r="N46" s="5">
        <v>1097.5440000000003</v>
      </c>
      <c r="O46" s="27">
        <v>7</v>
      </c>
      <c r="P46" s="5">
        <v>123.47369999999989</v>
      </c>
      <c r="Q46" s="5">
        <v>156.792</v>
      </c>
    </row>
    <row r="47" spans="1:17">
      <c r="A47" s="1">
        <v>37</v>
      </c>
      <c r="B47" s="1" t="s">
        <v>117</v>
      </c>
      <c r="C47" s="1">
        <v>117590</v>
      </c>
      <c r="D47" s="7">
        <v>42714</v>
      </c>
      <c r="E47" s="1" t="s">
        <v>118</v>
      </c>
      <c r="F47" s="1" t="s">
        <v>120</v>
      </c>
      <c r="G47" s="1" t="s">
        <v>70</v>
      </c>
      <c r="H47" s="1" t="s">
        <v>120</v>
      </c>
      <c r="I47" s="1" t="s">
        <v>71</v>
      </c>
      <c r="J47" s="1" t="s">
        <v>120</v>
      </c>
      <c r="K47" s="1" t="s">
        <v>26</v>
      </c>
      <c r="L47" s="1" t="s">
        <v>120</v>
      </c>
      <c r="M47" s="1" t="s">
        <v>47</v>
      </c>
      <c r="N47" s="5">
        <v>190.92</v>
      </c>
      <c r="O47" s="27">
        <v>5</v>
      </c>
      <c r="P47" s="5">
        <v>-147.96300000000002</v>
      </c>
      <c r="Q47" s="5">
        <v>38.183999999999997</v>
      </c>
    </row>
    <row r="48" spans="1:17">
      <c r="A48" s="1">
        <v>38</v>
      </c>
      <c r="B48" s="1" t="s">
        <v>121</v>
      </c>
      <c r="C48" s="1">
        <v>117415</v>
      </c>
      <c r="D48" s="7">
        <v>42369</v>
      </c>
      <c r="E48" s="1" t="s">
        <v>122</v>
      </c>
      <c r="F48" s="1" t="s">
        <v>123</v>
      </c>
      <c r="G48" s="1" t="s">
        <v>70</v>
      </c>
      <c r="H48" s="1" t="s">
        <v>123</v>
      </c>
      <c r="I48" s="1" t="s">
        <v>71</v>
      </c>
      <c r="J48" s="1" t="s">
        <v>123</v>
      </c>
      <c r="K48" s="1" t="s">
        <v>35</v>
      </c>
      <c r="L48" s="1" t="s">
        <v>123</v>
      </c>
      <c r="M48" s="1" t="s">
        <v>110</v>
      </c>
      <c r="N48" s="5">
        <v>113.328</v>
      </c>
      <c r="O48" s="27">
        <v>9</v>
      </c>
      <c r="P48" s="5">
        <v>35.414999999999999</v>
      </c>
      <c r="Q48" s="5">
        <v>12.592000000000001</v>
      </c>
    </row>
    <row r="49" spans="1:17">
      <c r="A49" s="1">
        <v>39</v>
      </c>
      <c r="B49" s="1" t="s">
        <v>121</v>
      </c>
      <c r="C49" s="1">
        <v>117415</v>
      </c>
      <c r="D49" s="7">
        <v>42369</v>
      </c>
      <c r="E49" s="1" t="s">
        <v>122</v>
      </c>
      <c r="F49" s="1" t="s">
        <v>124</v>
      </c>
      <c r="G49" s="1" t="s">
        <v>70</v>
      </c>
      <c r="H49" s="1" t="s">
        <v>124</v>
      </c>
      <c r="I49" s="1" t="s">
        <v>71</v>
      </c>
      <c r="J49" s="1" t="s">
        <v>124</v>
      </c>
      <c r="K49" s="1" t="s">
        <v>26</v>
      </c>
      <c r="L49" s="1" t="s">
        <v>124</v>
      </c>
      <c r="M49" s="1" t="s">
        <v>27</v>
      </c>
      <c r="N49" s="5">
        <v>532.39919999999995</v>
      </c>
      <c r="O49" s="27">
        <v>3</v>
      </c>
      <c r="P49" s="5">
        <v>-46.976400000000012</v>
      </c>
      <c r="Q49" s="5">
        <v>177.46639999999999</v>
      </c>
    </row>
    <row r="50" spans="1:17">
      <c r="A50" s="1">
        <v>40</v>
      </c>
      <c r="B50" s="1" t="s">
        <v>121</v>
      </c>
      <c r="C50" s="1">
        <v>117415</v>
      </c>
      <c r="D50" s="7">
        <v>42369</v>
      </c>
      <c r="E50" s="1" t="s">
        <v>122</v>
      </c>
      <c r="F50" s="1" t="s">
        <v>125</v>
      </c>
      <c r="G50" s="1" t="s">
        <v>70</v>
      </c>
      <c r="H50" s="1" t="s">
        <v>125</v>
      </c>
      <c r="I50" s="1" t="s">
        <v>71</v>
      </c>
      <c r="J50" s="1" t="s">
        <v>125</v>
      </c>
      <c r="K50" s="1" t="s">
        <v>26</v>
      </c>
      <c r="L50" s="1" t="s">
        <v>125</v>
      </c>
      <c r="M50" s="1" t="s">
        <v>29</v>
      </c>
      <c r="N50" s="5">
        <v>212.05799999999999</v>
      </c>
      <c r="O50" s="27">
        <v>3</v>
      </c>
      <c r="P50" s="5">
        <v>-15.146999999999991</v>
      </c>
      <c r="Q50" s="5">
        <v>70.686000000000007</v>
      </c>
    </row>
    <row r="51" spans="1:17">
      <c r="A51" s="1">
        <v>41</v>
      </c>
      <c r="B51" s="1" t="s">
        <v>121</v>
      </c>
      <c r="C51" s="1">
        <v>117415</v>
      </c>
      <c r="D51" s="7">
        <v>42369</v>
      </c>
      <c r="E51" s="1" t="s">
        <v>122</v>
      </c>
      <c r="F51" s="1" t="s">
        <v>126</v>
      </c>
      <c r="G51" s="1" t="s">
        <v>70</v>
      </c>
      <c r="H51" s="1" t="s">
        <v>126</v>
      </c>
      <c r="I51" s="1" t="s">
        <v>71</v>
      </c>
      <c r="J51" s="1" t="s">
        <v>126</v>
      </c>
      <c r="K51" s="1" t="s">
        <v>51</v>
      </c>
      <c r="L51" s="1" t="s">
        <v>126</v>
      </c>
      <c r="M51" s="1" t="s">
        <v>52</v>
      </c>
      <c r="N51" s="5">
        <v>371.16800000000001</v>
      </c>
      <c r="O51" s="27">
        <v>4</v>
      </c>
      <c r="P51" s="5">
        <v>41.756399999999957</v>
      </c>
      <c r="Q51" s="5">
        <v>92.792000000000002</v>
      </c>
    </row>
    <row r="52" spans="1:17">
      <c r="A52" s="1">
        <v>42</v>
      </c>
      <c r="B52" s="1" t="s">
        <v>127</v>
      </c>
      <c r="C52" s="1">
        <v>120999</v>
      </c>
      <c r="D52" s="7">
        <v>42993</v>
      </c>
      <c r="E52" s="1" t="s">
        <v>128</v>
      </c>
      <c r="F52" s="1" t="s">
        <v>130</v>
      </c>
      <c r="G52" s="1" t="s">
        <v>129</v>
      </c>
      <c r="H52" s="1" t="s">
        <v>130</v>
      </c>
      <c r="I52" s="1" t="s">
        <v>71</v>
      </c>
      <c r="J52" s="1" t="s">
        <v>130</v>
      </c>
      <c r="K52" s="1" t="s">
        <v>51</v>
      </c>
      <c r="L52" s="1" t="s">
        <v>130</v>
      </c>
      <c r="M52" s="1" t="s">
        <v>52</v>
      </c>
      <c r="N52" s="5">
        <v>147.16800000000001</v>
      </c>
      <c r="O52" s="27">
        <v>4</v>
      </c>
      <c r="P52" s="5">
        <v>16.556399999999996</v>
      </c>
      <c r="Q52" s="5">
        <v>36.792000000000002</v>
      </c>
    </row>
    <row r="53" spans="1:17">
      <c r="A53" s="1">
        <v>43</v>
      </c>
      <c r="B53" s="1" t="s">
        <v>131</v>
      </c>
      <c r="C53" s="1">
        <v>101343</v>
      </c>
      <c r="D53" s="7">
        <v>42573</v>
      </c>
      <c r="E53" s="1" t="s">
        <v>132</v>
      </c>
      <c r="F53" s="1" t="s">
        <v>133</v>
      </c>
      <c r="G53" s="1" t="s">
        <v>32</v>
      </c>
      <c r="H53" s="1" t="s">
        <v>133</v>
      </c>
      <c r="I53" s="1" t="s">
        <v>33</v>
      </c>
      <c r="J53" s="1" t="s">
        <v>133</v>
      </c>
      <c r="K53" s="1" t="s">
        <v>35</v>
      </c>
      <c r="L53" s="1" t="s">
        <v>133</v>
      </c>
      <c r="M53" s="1" t="s">
        <v>43</v>
      </c>
      <c r="N53" s="5">
        <v>77.88</v>
      </c>
      <c r="O53" s="27">
        <v>2</v>
      </c>
      <c r="P53" s="5">
        <v>3.8939999999999912</v>
      </c>
      <c r="Q53" s="5">
        <v>38.94</v>
      </c>
    </row>
    <row r="54" spans="1:17">
      <c r="A54" s="1">
        <v>44</v>
      </c>
      <c r="B54" s="1" t="s">
        <v>134</v>
      </c>
      <c r="C54" s="1">
        <v>139619</v>
      </c>
      <c r="D54" s="7">
        <v>43001</v>
      </c>
      <c r="E54" s="1" t="s">
        <v>135</v>
      </c>
      <c r="F54" s="1" t="s">
        <v>136</v>
      </c>
      <c r="G54" s="1" t="s">
        <v>39</v>
      </c>
      <c r="H54" s="1" t="s">
        <v>136</v>
      </c>
      <c r="I54" s="1" t="s">
        <v>24</v>
      </c>
      <c r="J54" s="1" t="s">
        <v>136</v>
      </c>
      <c r="K54" s="1" t="s">
        <v>35</v>
      </c>
      <c r="L54" s="1" t="s">
        <v>136</v>
      </c>
      <c r="M54" s="1" t="s">
        <v>43</v>
      </c>
      <c r="N54" s="5">
        <v>95.616</v>
      </c>
      <c r="O54" s="27">
        <v>2</v>
      </c>
      <c r="P54" s="5">
        <v>9.5616000000000092</v>
      </c>
      <c r="Q54" s="5">
        <v>47.808</v>
      </c>
    </row>
    <row r="55" spans="1:17">
      <c r="A55" s="1">
        <v>45</v>
      </c>
      <c r="B55" s="1" t="s">
        <v>137</v>
      </c>
      <c r="C55" s="1">
        <v>118255</v>
      </c>
      <c r="D55" s="7">
        <v>42442</v>
      </c>
      <c r="E55" s="1" t="s">
        <v>138</v>
      </c>
      <c r="F55" s="1" t="s">
        <v>140</v>
      </c>
      <c r="G55" s="1" t="s">
        <v>139</v>
      </c>
      <c r="H55" s="1" t="s">
        <v>140</v>
      </c>
      <c r="I55" s="1" t="s">
        <v>71</v>
      </c>
      <c r="J55" s="1" t="s">
        <v>140</v>
      </c>
      <c r="K55" s="1" t="s">
        <v>51</v>
      </c>
      <c r="L55" s="1" t="s">
        <v>140</v>
      </c>
      <c r="M55" s="1" t="s">
        <v>103</v>
      </c>
      <c r="N55" s="5">
        <v>45.98</v>
      </c>
      <c r="O55" s="27">
        <v>2</v>
      </c>
      <c r="P55" s="5">
        <v>19.7714</v>
      </c>
      <c r="Q55" s="5">
        <v>22.99</v>
      </c>
    </row>
    <row r="56" spans="1:17">
      <c r="A56" s="1">
        <v>46</v>
      </c>
      <c r="B56" s="1" t="s">
        <v>137</v>
      </c>
      <c r="C56" s="1">
        <v>118255</v>
      </c>
      <c r="D56" s="7">
        <v>42442</v>
      </c>
      <c r="E56" s="1" t="s">
        <v>138</v>
      </c>
      <c r="F56" s="1" t="s">
        <v>141</v>
      </c>
      <c r="G56" s="1" t="s">
        <v>139</v>
      </c>
      <c r="H56" s="1" t="s">
        <v>141</v>
      </c>
      <c r="I56" s="1" t="s">
        <v>71</v>
      </c>
      <c r="J56" s="1" t="s">
        <v>141</v>
      </c>
      <c r="K56" s="1" t="s">
        <v>35</v>
      </c>
      <c r="L56" s="1" t="s">
        <v>141</v>
      </c>
      <c r="M56" s="1" t="s">
        <v>54</v>
      </c>
      <c r="N56" s="5">
        <v>17.46</v>
      </c>
      <c r="O56" s="27">
        <v>2</v>
      </c>
      <c r="P56" s="5">
        <v>8.2061999999999991</v>
      </c>
      <c r="Q56" s="5">
        <v>8.73</v>
      </c>
    </row>
    <row r="57" spans="1:17">
      <c r="A57" s="1">
        <v>47</v>
      </c>
      <c r="B57" s="1" t="s">
        <v>142</v>
      </c>
      <c r="C57" s="1">
        <v>146703</v>
      </c>
      <c r="D57" s="7">
        <v>41937</v>
      </c>
      <c r="E57" s="1" t="s">
        <v>143</v>
      </c>
      <c r="F57" s="1" t="s">
        <v>145</v>
      </c>
      <c r="G57" s="1" t="s">
        <v>144</v>
      </c>
      <c r="H57" s="1" t="s">
        <v>145</v>
      </c>
      <c r="I57" s="1" t="s">
        <v>71</v>
      </c>
      <c r="J57" s="1" t="s">
        <v>145</v>
      </c>
      <c r="K57" s="1" t="s">
        <v>35</v>
      </c>
      <c r="L57" s="1" t="s">
        <v>145</v>
      </c>
      <c r="M57" s="1" t="s">
        <v>43</v>
      </c>
      <c r="N57" s="5">
        <v>211.96</v>
      </c>
      <c r="O57" s="27">
        <v>4</v>
      </c>
      <c r="P57" s="5">
        <v>8.4783999999999935</v>
      </c>
      <c r="Q57" s="5">
        <v>52.99</v>
      </c>
    </row>
    <row r="58" spans="1:17">
      <c r="A58" s="1">
        <v>48</v>
      </c>
      <c r="B58" s="1" t="s">
        <v>146</v>
      </c>
      <c r="C58" s="1">
        <v>169194</v>
      </c>
      <c r="D58" s="7">
        <v>42546</v>
      </c>
      <c r="E58" s="1" t="s">
        <v>147</v>
      </c>
      <c r="F58" s="1" t="s">
        <v>149</v>
      </c>
      <c r="G58" s="1" t="s">
        <v>148</v>
      </c>
      <c r="H58" s="1" t="s">
        <v>149</v>
      </c>
      <c r="I58" s="1" t="s">
        <v>95</v>
      </c>
      <c r="J58" s="1" t="s">
        <v>149</v>
      </c>
      <c r="K58" s="1" t="s">
        <v>51</v>
      </c>
      <c r="L58" s="1" t="s">
        <v>149</v>
      </c>
      <c r="M58" s="1" t="s">
        <v>103</v>
      </c>
      <c r="N58" s="5">
        <v>45</v>
      </c>
      <c r="O58" s="27">
        <v>3</v>
      </c>
      <c r="P58" s="5">
        <v>4.9500000000000011</v>
      </c>
      <c r="Q58" s="5" t="s">
        <v>150</v>
      </c>
    </row>
    <row r="59" spans="1:17">
      <c r="A59" s="1">
        <v>49</v>
      </c>
      <c r="B59" s="1" t="s">
        <v>146</v>
      </c>
      <c r="C59" s="1">
        <v>169194</v>
      </c>
      <c r="D59" s="7">
        <v>42546</v>
      </c>
      <c r="E59" s="1" t="s">
        <v>147</v>
      </c>
      <c r="F59" s="1" t="s">
        <v>151</v>
      </c>
      <c r="G59" s="1" t="s">
        <v>148</v>
      </c>
      <c r="H59" s="1" t="s">
        <v>151</v>
      </c>
      <c r="I59" s="1" t="s">
        <v>95</v>
      </c>
      <c r="J59" s="1" t="s">
        <v>151</v>
      </c>
      <c r="K59" s="1" t="s">
        <v>51</v>
      </c>
      <c r="L59" s="1" t="s">
        <v>151</v>
      </c>
      <c r="M59" s="1" t="s">
        <v>52</v>
      </c>
      <c r="N59" s="5">
        <v>21.8</v>
      </c>
      <c r="O59" s="27">
        <v>2</v>
      </c>
      <c r="P59" s="5">
        <v>6.104000000000001</v>
      </c>
      <c r="Q59" s="5">
        <v>10.9</v>
      </c>
    </row>
    <row r="60" spans="1:17">
      <c r="A60" s="1">
        <v>50</v>
      </c>
      <c r="B60" s="1" t="s">
        <v>152</v>
      </c>
      <c r="C60" s="1">
        <v>115742</v>
      </c>
      <c r="D60" s="7">
        <v>42116</v>
      </c>
      <c r="E60" s="1" t="s">
        <v>153</v>
      </c>
      <c r="F60" s="1" t="s">
        <v>155</v>
      </c>
      <c r="G60" s="1" t="s">
        <v>154</v>
      </c>
      <c r="H60" s="1" t="s">
        <v>155</v>
      </c>
      <c r="I60" s="1" t="s">
        <v>71</v>
      </c>
      <c r="J60" s="1" t="s">
        <v>155</v>
      </c>
      <c r="K60" s="1" t="s">
        <v>35</v>
      </c>
      <c r="L60" s="1" t="s">
        <v>155</v>
      </c>
      <c r="M60" s="1" t="s">
        <v>54</v>
      </c>
      <c r="N60" s="5">
        <v>38.22</v>
      </c>
      <c r="O60" s="27">
        <v>6</v>
      </c>
      <c r="P60" s="5">
        <v>17.9634</v>
      </c>
      <c r="Q60" s="5">
        <v>6.37</v>
      </c>
    </row>
    <row r="61" spans="1:17">
      <c r="A61" s="1">
        <v>51</v>
      </c>
      <c r="B61" s="1" t="s">
        <v>152</v>
      </c>
      <c r="C61" s="1">
        <v>115742</v>
      </c>
      <c r="D61" s="7">
        <v>42116</v>
      </c>
      <c r="E61" s="1" t="s">
        <v>153</v>
      </c>
      <c r="F61" s="1" t="s">
        <v>156</v>
      </c>
      <c r="G61" s="1" t="s">
        <v>154</v>
      </c>
      <c r="H61" s="1" t="s">
        <v>156</v>
      </c>
      <c r="I61" s="1" t="s">
        <v>71</v>
      </c>
      <c r="J61" s="1" t="s">
        <v>156</v>
      </c>
      <c r="K61" s="1" t="s">
        <v>35</v>
      </c>
      <c r="L61" s="1" t="s">
        <v>156</v>
      </c>
      <c r="M61" s="1" t="s">
        <v>36</v>
      </c>
      <c r="N61" s="5">
        <v>75.179999999999993</v>
      </c>
      <c r="O61" s="27">
        <v>6</v>
      </c>
      <c r="P61" s="5">
        <v>35.334599999999995</v>
      </c>
      <c r="Q61" s="5">
        <v>12.53</v>
      </c>
    </row>
    <row r="62" spans="1:17">
      <c r="A62" s="1">
        <v>52</v>
      </c>
      <c r="B62" s="1" t="s">
        <v>152</v>
      </c>
      <c r="C62" s="1">
        <v>115742</v>
      </c>
      <c r="D62" s="7">
        <v>42116</v>
      </c>
      <c r="E62" s="1" t="s">
        <v>153</v>
      </c>
      <c r="F62" s="1" t="s">
        <v>157</v>
      </c>
      <c r="G62" s="1" t="s">
        <v>154</v>
      </c>
      <c r="H62" s="1" t="s">
        <v>157</v>
      </c>
      <c r="I62" s="1" t="s">
        <v>71</v>
      </c>
      <c r="J62" s="1" t="s">
        <v>157</v>
      </c>
      <c r="K62" s="1" t="s">
        <v>26</v>
      </c>
      <c r="L62" s="1" t="s">
        <v>157</v>
      </c>
      <c r="M62" s="1" t="s">
        <v>47</v>
      </c>
      <c r="N62" s="5">
        <v>6.16</v>
      </c>
      <c r="O62" s="27">
        <v>2</v>
      </c>
      <c r="P62" s="5">
        <v>2.9567999999999999</v>
      </c>
      <c r="Q62" s="5">
        <v>3.08</v>
      </c>
    </row>
    <row r="63" spans="1:17">
      <c r="A63" s="1">
        <v>53</v>
      </c>
      <c r="B63" s="1" t="s">
        <v>152</v>
      </c>
      <c r="C63" s="1">
        <v>115742</v>
      </c>
      <c r="D63" s="7">
        <v>42116</v>
      </c>
      <c r="E63" s="1" t="s">
        <v>153</v>
      </c>
      <c r="F63" s="1" t="s">
        <v>158</v>
      </c>
      <c r="G63" s="1" t="s">
        <v>154</v>
      </c>
      <c r="H63" s="1" t="s">
        <v>158</v>
      </c>
      <c r="I63" s="1" t="s">
        <v>71</v>
      </c>
      <c r="J63" s="1" t="s">
        <v>158</v>
      </c>
      <c r="K63" s="1" t="s">
        <v>26</v>
      </c>
      <c r="L63" s="1" t="s">
        <v>158</v>
      </c>
      <c r="M63" s="1" t="s">
        <v>29</v>
      </c>
      <c r="N63" s="5">
        <v>89.99</v>
      </c>
      <c r="O63" s="27">
        <v>1</v>
      </c>
      <c r="P63" s="5">
        <v>17.098099999999988</v>
      </c>
      <c r="Q63" s="5">
        <v>89.99</v>
      </c>
    </row>
    <row r="64" spans="1:17">
      <c r="A64" s="1">
        <v>54</v>
      </c>
      <c r="B64" s="1" t="s">
        <v>159</v>
      </c>
      <c r="C64" s="1">
        <v>105816</v>
      </c>
      <c r="D64" s="7">
        <v>42721</v>
      </c>
      <c r="E64" s="1" t="s">
        <v>160</v>
      </c>
      <c r="F64" s="1" t="s">
        <v>162</v>
      </c>
      <c r="G64" s="1" t="s">
        <v>161</v>
      </c>
      <c r="H64" s="1" t="s">
        <v>162</v>
      </c>
      <c r="I64" s="1" t="s">
        <v>95</v>
      </c>
      <c r="J64" s="1" t="s">
        <v>162</v>
      </c>
      <c r="K64" s="1" t="s">
        <v>35</v>
      </c>
      <c r="L64" s="1" t="s">
        <v>162</v>
      </c>
      <c r="M64" s="1" t="s">
        <v>163</v>
      </c>
      <c r="N64" s="5">
        <v>15.260000000000002</v>
      </c>
      <c r="O64" s="27">
        <v>7</v>
      </c>
      <c r="P64" s="5">
        <v>6.2566000000000006</v>
      </c>
      <c r="Q64" s="5">
        <v>2.1800000000000002</v>
      </c>
    </row>
    <row r="65" spans="1:17">
      <c r="A65" s="1">
        <v>55</v>
      </c>
      <c r="B65" s="1" t="s">
        <v>159</v>
      </c>
      <c r="C65" s="1">
        <v>105816</v>
      </c>
      <c r="D65" s="7">
        <v>42721</v>
      </c>
      <c r="E65" s="1" t="s">
        <v>160</v>
      </c>
      <c r="F65" s="1" t="s">
        <v>164</v>
      </c>
      <c r="G65" s="1" t="s">
        <v>161</v>
      </c>
      <c r="H65" s="1" t="s">
        <v>164</v>
      </c>
      <c r="I65" s="1" t="s">
        <v>95</v>
      </c>
      <c r="J65" s="1" t="s">
        <v>164</v>
      </c>
      <c r="K65" s="1" t="s">
        <v>51</v>
      </c>
      <c r="L65" s="1" t="s">
        <v>164</v>
      </c>
      <c r="M65" s="1" t="s">
        <v>52</v>
      </c>
      <c r="N65" s="5">
        <v>1029.95</v>
      </c>
      <c r="O65" s="27">
        <v>5</v>
      </c>
      <c r="P65" s="5">
        <v>298.68549999999999</v>
      </c>
      <c r="Q65" s="5">
        <v>205.99</v>
      </c>
    </row>
    <row r="66" spans="1:17">
      <c r="A66" s="1">
        <v>56</v>
      </c>
      <c r="B66" s="1" t="s">
        <v>165</v>
      </c>
      <c r="C66" s="1">
        <v>111682</v>
      </c>
      <c r="D66" s="7">
        <v>42539</v>
      </c>
      <c r="E66" s="1" t="s">
        <v>166</v>
      </c>
      <c r="F66" s="1" t="s">
        <v>167</v>
      </c>
      <c r="G66" s="1" t="s">
        <v>161</v>
      </c>
      <c r="H66" s="1" t="s">
        <v>167</v>
      </c>
      <c r="I66" s="1" t="s">
        <v>95</v>
      </c>
      <c r="J66" s="1" t="s">
        <v>167</v>
      </c>
      <c r="K66" s="1" t="s">
        <v>35</v>
      </c>
      <c r="L66" s="1" t="s">
        <v>167</v>
      </c>
      <c r="M66" s="1" t="s">
        <v>43</v>
      </c>
      <c r="N66" s="5">
        <v>208.56</v>
      </c>
      <c r="O66" s="27">
        <v>6</v>
      </c>
      <c r="P66" s="5">
        <v>52.139999999999986</v>
      </c>
      <c r="Q66" s="5">
        <v>34.76</v>
      </c>
    </row>
    <row r="67" spans="1:17">
      <c r="A67" s="1">
        <v>57</v>
      </c>
      <c r="B67" s="1" t="s">
        <v>165</v>
      </c>
      <c r="C67" s="1">
        <v>111682</v>
      </c>
      <c r="D67" s="7">
        <v>42539</v>
      </c>
      <c r="E67" s="1" t="s">
        <v>166</v>
      </c>
      <c r="F67" s="1" t="s">
        <v>168</v>
      </c>
      <c r="G67" s="1" t="s">
        <v>161</v>
      </c>
      <c r="H67" s="1" t="s">
        <v>168</v>
      </c>
      <c r="I67" s="1" t="s">
        <v>95</v>
      </c>
      <c r="J67" s="1" t="s">
        <v>168</v>
      </c>
      <c r="K67" s="1" t="s">
        <v>35</v>
      </c>
      <c r="L67" s="1" t="s">
        <v>168</v>
      </c>
      <c r="M67" s="1" t="s">
        <v>63</v>
      </c>
      <c r="N67" s="5">
        <v>32.400000000000006</v>
      </c>
      <c r="O67" s="27">
        <v>5</v>
      </c>
      <c r="P67" s="5">
        <v>15.552000000000001</v>
      </c>
      <c r="Q67" s="5">
        <v>6.48</v>
      </c>
    </row>
    <row r="68" spans="1:17">
      <c r="A68" s="1">
        <v>58</v>
      </c>
      <c r="B68" s="1" t="s">
        <v>165</v>
      </c>
      <c r="C68" s="1">
        <v>111682</v>
      </c>
      <c r="D68" s="7">
        <v>42539</v>
      </c>
      <c r="E68" s="1" t="s">
        <v>166</v>
      </c>
      <c r="F68" s="1" t="s">
        <v>169</v>
      </c>
      <c r="G68" s="1" t="s">
        <v>161</v>
      </c>
      <c r="H68" s="1" t="s">
        <v>169</v>
      </c>
      <c r="I68" s="1" t="s">
        <v>95</v>
      </c>
      <c r="J68" s="1" t="s">
        <v>169</v>
      </c>
      <c r="K68" s="1" t="s">
        <v>26</v>
      </c>
      <c r="L68" s="1" t="s">
        <v>169</v>
      </c>
      <c r="M68" s="1" t="s">
        <v>29</v>
      </c>
      <c r="N68" s="5">
        <v>319.41000000000003</v>
      </c>
      <c r="O68" s="27">
        <v>5</v>
      </c>
      <c r="P68" s="5">
        <v>7.0980000000000061</v>
      </c>
      <c r="Q68" s="5">
        <v>63.881999999999998</v>
      </c>
    </row>
    <row r="69" spans="1:17">
      <c r="A69" s="1">
        <v>59</v>
      </c>
      <c r="B69" s="1" t="s">
        <v>165</v>
      </c>
      <c r="C69" s="1">
        <v>111682</v>
      </c>
      <c r="D69" s="7">
        <v>42539</v>
      </c>
      <c r="E69" s="1" t="s">
        <v>166</v>
      </c>
      <c r="F69" s="1" t="s">
        <v>170</v>
      </c>
      <c r="G69" s="1" t="s">
        <v>161</v>
      </c>
      <c r="H69" s="1" t="s">
        <v>170</v>
      </c>
      <c r="I69" s="1" t="s">
        <v>95</v>
      </c>
      <c r="J69" s="1" t="s">
        <v>170</v>
      </c>
      <c r="K69" s="1" t="s">
        <v>35</v>
      </c>
      <c r="L69" s="1" t="s">
        <v>170</v>
      </c>
      <c r="M69" s="1" t="s">
        <v>63</v>
      </c>
      <c r="N69" s="5">
        <v>14.56</v>
      </c>
      <c r="O69" s="27">
        <v>2</v>
      </c>
      <c r="P69" s="5">
        <v>6.9888000000000003</v>
      </c>
      <c r="Q69" s="5">
        <v>7.28</v>
      </c>
    </row>
    <row r="70" spans="1:17">
      <c r="A70" s="1">
        <v>60</v>
      </c>
      <c r="B70" s="1" t="s">
        <v>165</v>
      </c>
      <c r="C70" s="1">
        <v>111682</v>
      </c>
      <c r="D70" s="7">
        <v>42539</v>
      </c>
      <c r="E70" s="1" t="s">
        <v>166</v>
      </c>
      <c r="F70" s="1" t="s">
        <v>149</v>
      </c>
      <c r="G70" s="1" t="s">
        <v>161</v>
      </c>
      <c r="H70" s="1" t="s">
        <v>149</v>
      </c>
      <c r="I70" s="1" t="s">
        <v>95</v>
      </c>
      <c r="J70" s="1" t="s">
        <v>149</v>
      </c>
      <c r="K70" s="1" t="s">
        <v>51</v>
      </c>
      <c r="L70" s="1" t="s">
        <v>149</v>
      </c>
      <c r="M70" s="1" t="s">
        <v>103</v>
      </c>
      <c r="N70" s="5">
        <v>30</v>
      </c>
      <c r="O70" s="27">
        <v>2</v>
      </c>
      <c r="P70" s="5">
        <v>3.3000000000000007</v>
      </c>
      <c r="Q70" s="5" t="s">
        <v>150</v>
      </c>
    </row>
    <row r="71" spans="1:17">
      <c r="A71" s="1">
        <v>61</v>
      </c>
      <c r="B71" s="1" t="s">
        <v>165</v>
      </c>
      <c r="C71" s="1">
        <v>111682</v>
      </c>
      <c r="D71" s="7">
        <v>42539</v>
      </c>
      <c r="E71" s="1" t="s">
        <v>166</v>
      </c>
      <c r="F71" s="1" t="s">
        <v>171</v>
      </c>
      <c r="G71" s="1" t="s">
        <v>161</v>
      </c>
      <c r="H71" s="1" t="s">
        <v>171</v>
      </c>
      <c r="I71" s="1" t="s">
        <v>95</v>
      </c>
      <c r="J71" s="1" t="s">
        <v>171</v>
      </c>
      <c r="K71" s="1" t="s">
        <v>35</v>
      </c>
      <c r="L71" s="1" t="s">
        <v>171</v>
      </c>
      <c r="M71" s="1" t="s">
        <v>54</v>
      </c>
      <c r="N71" s="5">
        <v>48.480000000000004</v>
      </c>
      <c r="O71" s="27">
        <v>4</v>
      </c>
      <c r="P71" s="5">
        <v>16.361999999999998</v>
      </c>
      <c r="Q71" s="5">
        <v>12.12</v>
      </c>
    </row>
    <row r="72" spans="1:17">
      <c r="A72" s="1">
        <v>62</v>
      </c>
      <c r="B72" s="1" t="s">
        <v>165</v>
      </c>
      <c r="C72" s="1">
        <v>111682</v>
      </c>
      <c r="D72" s="7">
        <v>42539</v>
      </c>
      <c r="E72" s="1" t="s">
        <v>166</v>
      </c>
      <c r="F72" s="1" t="s">
        <v>172</v>
      </c>
      <c r="G72" s="1" t="s">
        <v>161</v>
      </c>
      <c r="H72" s="1" t="s">
        <v>172</v>
      </c>
      <c r="I72" s="1" t="s">
        <v>95</v>
      </c>
      <c r="J72" s="1" t="s">
        <v>172</v>
      </c>
      <c r="K72" s="1" t="s">
        <v>35</v>
      </c>
      <c r="L72" s="1" t="s">
        <v>172</v>
      </c>
      <c r="M72" s="1" t="s">
        <v>49</v>
      </c>
      <c r="N72" s="5">
        <v>1.68</v>
      </c>
      <c r="O72" s="27">
        <v>1</v>
      </c>
      <c r="P72" s="5">
        <v>0.84</v>
      </c>
      <c r="Q72" s="5">
        <v>1.68</v>
      </c>
    </row>
    <row r="73" spans="1:17">
      <c r="A73" s="1">
        <v>63</v>
      </c>
      <c r="B73" s="1" t="s">
        <v>173</v>
      </c>
      <c r="C73" s="1">
        <v>135545</v>
      </c>
      <c r="D73" s="7">
        <v>42338</v>
      </c>
      <c r="E73" s="1" t="s">
        <v>174</v>
      </c>
      <c r="F73" s="1" t="s">
        <v>175</v>
      </c>
      <c r="G73" s="1" t="s">
        <v>32</v>
      </c>
      <c r="H73" s="1" t="s">
        <v>175</v>
      </c>
      <c r="I73" s="1" t="s">
        <v>33</v>
      </c>
      <c r="J73" s="1" t="s">
        <v>175</v>
      </c>
      <c r="K73" s="1" t="s">
        <v>51</v>
      </c>
      <c r="L73" s="1" t="s">
        <v>175</v>
      </c>
      <c r="M73" s="1" t="s">
        <v>103</v>
      </c>
      <c r="N73" s="5">
        <v>13.98</v>
      </c>
      <c r="O73" s="27">
        <v>2</v>
      </c>
      <c r="P73" s="5">
        <v>6.1512000000000011</v>
      </c>
      <c r="Q73" s="5">
        <v>6.99</v>
      </c>
    </row>
    <row r="74" spans="1:17">
      <c r="A74" s="1">
        <v>64</v>
      </c>
      <c r="B74" s="1" t="s">
        <v>173</v>
      </c>
      <c r="C74" s="1">
        <v>135545</v>
      </c>
      <c r="D74" s="7">
        <v>42338</v>
      </c>
      <c r="E74" s="1" t="s">
        <v>174</v>
      </c>
      <c r="F74" s="1" t="s">
        <v>176</v>
      </c>
      <c r="G74" s="1" t="s">
        <v>32</v>
      </c>
      <c r="H74" s="1" t="s">
        <v>176</v>
      </c>
      <c r="I74" s="1" t="s">
        <v>33</v>
      </c>
      <c r="J74" s="1" t="s">
        <v>176</v>
      </c>
      <c r="K74" s="1" t="s">
        <v>35</v>
      </c>
      <c r="L74" s="1" t="s">
        <v>176</v>
      </c>
      <c r="M74" s="1" t="s">
        <v>54</v>
      </c>
      <c r="N74" s="5">
        <v>25.824000000000002</v>
      </c>
      <c r="O74" s="27">
        <v>6</v>
      </c>
      <c r="P74" s="5">
        <v>9.3612000000000002</v>
      </c>
      <c r="Q74" s="5">
        <v>4.3040000000000003</v>
      </c>
    </row>
    <row r="75" spans="1:17">
      <c r="A75" s="1">
        <v>65</v>
      </c>
      <c r="B75" s="1" t="s">
        <v>173</v>
      </c>
      <c r="C75" s="1">
        <v>135545</v>
      </c>
      <c r="D75" s="7">
        <v>42338</v>
      </c>
      <c r="E75" s="1" t="s">
        <v>174</v>
      </c>
      <c r="F75" s="1" t="s">
        <v>177</v>
      </c>
      <c r="G75" s="1" t="s">
        <v>32</v>
      </c>
      <c r="H75" s="1" t="s">
        <v>177</v>
      </c>
      <c r="I75" s="1" t="s">
        <v>33</v>
      </c>
      <c r="J75" s="1" t="s">
        <v>177</v>
      </c>
      <c r="K75" s="1" t="s">
        <v>35</v>
      </c>
      <c r="L75" s="1" t="s">
        <v>177</v>
      </c>
      <c r="M75" s="1" t="s">
        <v>63</v>
      </c>
      <c r="N75" s="5">
        <v>146.72999999999999</v>
      </c>
      <c r="O75" s="27">
        <v>3</v>
      </c>
      <c r="P75" s="5">
        <v>68.963099999999997</v>
      </c>
      <c r="Q75" s="5">
        <v>48.91</v>
      </c>
    </row>
    <row r="76" spans="1:17">
      <c r="A76" s="1">
        <v>66</v>
      </c>
      <c r="B76" s="1" t="s">
        <v>173</v>
      </c>
      <c r="C76" s="1">
        <v>135545</v>
      </c>
      <c r="D76" s="7">
        <v>42338</v>
      </c>
      <c r="E76" s="1" t="s">
        <v>174</v>
      </c>
      <c r="F76" s="1" t="s">
        <v>178</v>
      </c>
      <c r="G76" s="1" t="s">
        <v>32</v>
      </c>
      <c r="H76" s="1" t="s">
        <v>178</v>
      </c>
      <c r="I76" s="1" t="s">
        <v>33</v>
      </c>
      <c r="J76" s="1" t="s">
        <v>178</v>
      </c>
      <c r="K76" s="1" t="s">
        <v>26</v>
      </c>
      <c r="L76" s="1" t="s">
        <v>178</v>
      </c>
      <c r="M76" s="1" t="s">
        <v>47</v>
      </c>
      <c r="N76" s="5">
        <v>79.760000000000005</v>
      </c>
      <c r="O76" s="27">
        <v>4</v>
      </c>
      <c r="P76" s="5">
        <v>22.332800000000006</v>
      </c>
      <c r="Q76" s="5">
        <v>19.940000000000001</v>
      </c>
    </row>
    <row r="77" spans="1:17">
      <c r="A77" s="1">
        <v>67</v>
      </c>
      <c r="B77" s="1" t="s">
        <v>179</v>
      </c>
      <c r="C77" s="1">
        <v>164175</v>
      </c>
      <c r="D77" s="7">
        <v>42129</v>
      </c>
      <c r="E77" s="1" t="s">
        <v>180</v>
      </c>
      <c r="F77" s="1" t="s">
        <v>181</v>
      </c>
      <c r="G77" s="1" t="s">
        <v>129</v>
      </c>
      <c r="H77" s="1" t="s">
        <v>181</v>
      </c>
      <c r="I77" s="1" t="s">
        <v>71</v>
      </c>
      <c r="J77" s="1" t="s">
        <v>181</v>
      </c>
      <c r="K77" s="1" t="s">
        <v>26</v>
      </c>
      <c r="L77" s="1" t="s">
        <v>181</v>
      </c>
      <c r="M77" s="1" t="s">
        <v>29</v>
      </c>
      <c r="N77" s="5">
        <v>213.11499999999998</v>
      </c>
      <c r="O77" s="27">
        <v>5</v>
      </c>
      <c r="P77" s="5">
        <v>-15.222500000000011</v>
      </c>
      <c r="Q77" s="5">
        <v>42.622999999999998</v>
      </c>
    </row>
    <row r="78" spans="1:17">
      <c r="A78" s="1">
        <v>68</v>
      </c>
      <c r="B78" s="1" t="s">
        <v>182</v>
      </c>
      <c r="C78" s="1">
        <v>106376</v>
      </c>
      <c r="D78" s="7">
        <v>41983</v>
      </c>
      <c r="E78" s="1" t="s">
        <v>183</v>
      </c>
      <c r="F78" s="1" t="s">
        <v>185</v>
      </c>
      <c r="G78" s="1" t="s">
        <v>184</v>
      </c>
      <c r="H78" s="1" t="s">
        <v>185</v>
      </c>
      <c r="I78" s="1" t="s">
        <v>33</v>
      </c>
      <c r="J78" s="1" t="s">
        <v>185</v>
      </c>
      <c r="K78" s="1" t="s">
        <v>35</v>
      </c>
      <c r="L78" s="1" t="s">
        <v>185</v>
      </c>
      <c r="M78" s="1" t="s">
        <v>49</v>
      </c>
      <c r="N78" s="5">
        <v>1113.0240000000001</v>
      </c>
      <c r="O78" s="27">
        <v>8</v>
      </c>
      <c r="P78" s="5">
        <v>111.30239999999998</v>
      </c>
      <c r="Q78" s="5">
        <v>139.12799999999999</v>
      </c>
    </row>
    <row r="79" spans="1:17">
      <c r="A79" s="1">
        <v>69</v>
      </c>
      <c r="B79" s="1" t="s">
        <v>182</v>
      </c>
      <c r="C79" s="1">
        <v>106376</v>
      </c>
      <c r="D79" s="7">
        <v>41983</v>
      </c>
      <c r="E79" s="1" t="s">
        <v>183</v>
      </c>
      <c r="F79" s="1" t="s">
        <v>186</v>
      </c>
      <c r="G79" s="1" t="s">
        <v>184</v>
      </c>
      <c r="H79" s="1" t="s">
        <v>186</v>
      </c>
      <c r="I79" s="1" t="s">
        <v>33</v>
      </c>
      <c r="J79" s="1" t="s">
        <v>186</v>
      </c>
      <c r="K79" s="1" t="s">
        <v>51</v>
      </c>
      <c r="L79" s="1" t="s">
        <v>186</v>
      </c>
      <c r="M79" s="1" t="s">
        <v>52</v>
      </c>
      <c r="N79" s="5">
        <v>167.96800000000002</v>
      </c>
      <c r="O79" s="27">
        <v>4</v>
      </c>
      <c r="P79" s="5">
        <v>62.988</v>
      </c>
      <c r="Q79" s="5">
        <v>41.991999999999997</v>
      </c>
    </row>
    <row r="80" spans="1:17">
      <c r="A80" s="1">
        <v>70</v>
      </c>
      <c r="B80" s="1" t="s">
        <v>187</v>
      </c>
      <c r="C80" s="1">
        <v>119823</v>
      </c>
      <c r="D80" s="7">
        <v>42527</v>
      </c>
      <c r="E80" s="1" t="s">
        <v>188</v>
      </c>
      <c r="F80" s="1" t="s">
        <v>190</v>
      </c>
      <c r="G80" s="1" t="s">
        <v>189</v>
      </c>
      <c r="H80" s="1" t="s">
        <v>190</v>
      </c>
      <c r="I80" s="1" t="s">
        <v>24</v>
      </c>
      <c r="J80" s="1" t="s">
        <v>190</v>
      </c>
      <c r="K80" s="1" t="s">
        <v>35</v>
      </c>
      <c r="L80" s="1" t="s">
        <v>190</v>
      </c>
      <c r="M80" s="1" t="s">
        <v>63</v>
      </c>
      <c r="N80" s="5">
        <v>75.88</v>
      </c>
      <c r="O80" s="27">
        <v>2</v>
      </c>
      <c r="P80" s="5">
        <v>35.663599999999995</v>
      </c>
      <c r="Q80" s="5">
        <v>37.94</v>
      </c>
    </row>
    <row r="81" spans="1:17">
      <c r="A81" s="1">
        <v>71</v>
      </c>
      <c r="B81" s="1" t="s">
        <v>191</v>
      </c>
      <c r="C81" s="1">
        <v>106075</v>
      </c>
      <c r="D81" s="7">
        <v>42636</v>
      </c>
      <c r="E81" s="1" t="s">
        <v>192</v>
      </c>
      <c r="F81" s="1" t="s">
        <v>193</v>
      </c>
      <c r="G81" s="1" t="s">
        <v>161</v>
      </c>
      <c r="H81" s="1" t="s">
        <v>193</v>
      </c>
      <c r="I81" s="1" t="s">
        <v>95</v>
      </c>
      <c r="J81" s="1" t="s">
        <v>193</v>
      </c>
      <c r="K81" s="1" t="s">
        <v>35</v>
      </c>
      <c r="L81" s="1" t="s">
        <v>193</v>
      </c>
      <c r="M81" s="1" t="s">
        <v>54</v>
      </c>
      <c r="N81" s="5">
        <v>4.6159999999999997</v>
      </c>
      <c r="O81" s="27">
        <v>1</v>
      </c>
      <c r="P81" s="5">
        <v>1.7309999999999999</v>
      </c>
      <c r="Q81" s="5">
        <v>4.6159999999999997</v>
      </c>
    </row>
    <row r="82" spans="1:17">
      <c r="A82" s="1">
        <v>72</v>
      </c>
      <c r="B82" s="1" t="s">
        <v>194</v>
      </c>
      <c r="C82" s="1">
        <v>114440</v>
      </c>
      <c r="D82" s="7">
        <v>42995</v>
      </c>
      <c r="E82" s="1" t="s">
        <v>105</v>
      </c>
      <c r="F82" s="1" t="s">
        <v>195</v>
      </c>
      <c r="G82" s="1" t="s">
        <v>144</v>
      </c>
      <c r="H82" s="1" t="s">
        <v>195</v>
      </c>
      <c r="I82" s="1" t="s">
        <v>71</v>
      </c>
      <c r="J82" s="1" t="s">
        <v>195</v>
      </c>
      <c r="K82" s="1" t="s">
        <v>35</v>
      </c>
      <c r="L82" s="1" t="s">
        <v>195</v>
      </c>
      <c r="M82" s="1" t="s">
        <v>63</v>
      </c>
      <c r="N82" s="5">
        <v>19.049999999999997</v>
      </c>
      <c r="O82" s="27">
        <v>3</v>
      </c>
      <c r="P82" s="5">
        <v>8.7629999999999999</v>
      </c>
      <c r="Q82" s="5">
        <v>6.35</v>
      </c>
    </row>
    <row r="83" spans="1:17">
      <c r="A83" s="1">
        <v>73</v>
      </c>
      <c r="B83" s="1" t="s">
        <v>196</v>
      </c>
      <c r="C83" s="1">
        <v>134026</v>
      </c>
      <c r="D83" s="7">
        <v>42126</v>
      </c>
      <c r="E83" s="1" t="s">
        <v>197</v>
      </c>
      <c r="F83" s="1" t="s">
        <v>199</v>
      </c>
      <c r="G83" s="1" t="s">
        <v>198</v>
      </c>
      <c r="H83" s="1" t="s">
        <v>199</v>
      </c>
      <c r="I83" s="1" t="s">
        <v>24</v>
      </c>
      <c r="J83" s="1" t="s">
        <v>199</v>
      </c>
      <c r="K83" s="1" t="s">
        <v>26</v>
      </c>
      <c r="L83" s="1" t="s">
        <v>199</v>
      </c>
      <c r="M83" s="1" t="s">
        <v>29</v>
      </c>
      <c r="N83" s="5">
        <v>831.93600000000015</v>
      </c>
      <c r="O83" s="27">
        <v>8</v>
      </c>
      <c r="P83" s="5">
        <v>-114.39120000000003</v>
      </c>
      <c r="Q83" s="5">
        <v>103.992</v>
      </c>
    </row>
    <row r="84" spans="1:17">
      <c r="A84" s="1">
        <v>74</v>
      </c>
      <c r="B84" s="1" t="s">
        <v>196</v>
      </c>
      <c r="C84" s="1">
        <v>134026</v>
      </c>
      <c r="D84" s="7">
        <v>42126</v>
      </c>
      <c r="E84" s="1" t="s">
        <v>197</v>
      </c>
      <c r="F84" s="1" t="s">
        <v>200</v>
      </c>
      <c r="G84" s="1" t="s">
        <v>198</v>
      </c>
      <c r="H84" s="1" t="s">
        <v>200</v>
      </c>
      <c r="I84" s="1" t="s">
        <v>24</v>
      </c>
      <c r="J84" s="1" t="s">
        <v>200</v>
      </c>
      <c r="K84" s="1" t="s">
        <v>26</v>
      </c>
      <c r="L84" s="1" t="s">
        <v>200</v>
      </c>
      <c r="M84" s="1" t="s">
        <v>47</v>
      </c>
      <c r="N84" s="5">
        <v>97.04</v>
      </c>
      <c r="O84" s="27">
        <v>2</v>
      </c>
      <c r="P84" s="5">
        <v>1.2129999999999974</v>
      </c>
      <c r="Q84" s="5">
        <v>48.52</v>
      </c>
    </row>
    <row r="85" spans="1:17">
      <c r="A85" s="1">
        <v>75</v>
      </c>
      <c r="B85" s="1" t="s">
        <v>196</v>
      </c>
      <c r="C85" s="1">
        <v>134026</v>
      </c>
      <c r="D85" s="7">
        <v>42126</v>
      </c>
      <c r="E85" s="1" t="s">
        <v>197</v>
      </c>
      <c r="F85" s="1" t="s">
        <v>201</v>
      </c>
      <c r="G85" s="1" t="s">
        <v>198</v>
      </c>
      <c r="H85" s="1" t="s">
        <v>201</v>
      </c>
      <c r="I85" s="1" t="s">
        <v>24</v>
      </c>
      <c r="J85" s="1" t="s">
        <v>201</v>
      </c>
      <c r="K85" s="1" t="s">
        <v>35</v>
      </c>
      <c r="L85" s="1" t="s">
        <v>201</v>
      </c>
      <c r="M85" s="1" t="s">
        <v>43</v>
      </c>
      <c r="N85" s="5">
        <v>72.784000000000006</v>
      </c>
      <c r="O85" s="27">
        <v>1</v>
      </c>
      <c r="P85" s="5">
        <v>-18.196000000000002</v>
      </c>
      <c r="Q85" s="5">
        <v>72.784000000000006</v>
      </c>
    </row>
    <row r="86" spans="1:17">
      <c r="A86" s="1">
        <v>76</v>
      </c>
      <c r="B86" s="1" t="s">
        <v>202</v>
      </c>
      <c r="C86" s="1">
        <v>118038</v>
      </c>
      <c r="D86" s="7">
        <v>43080</v>
      </c>
      <c r="E86" s="1" t="s">
        <v>203</v>
      </c>
      <c r="F86" s="1" t="s">
        <v>204</v>
      </c>
      <c r="G86" s="1" t="s">
        <v>70</v>
      </c>
      <c r="H86" s="1" t="s">
        <v>204</v>
      </c>
      <c r="I86" s="1" t="s">
        <v>71</v>
      </c>
      <c r="J86" s="1" t="s">
        <v>204</v>
      </c>
      <c r="K86" s="1" t="s">
        <v>35</v>
      </c>
      <c r="L86" s="1" t="s">
        <v>204</v>
      </c>
      <c r="M86" s="1" t="s">
        <v>54</v>
      </c>
      <c r="N86" s="5">
        <v>1.2479999999999998</v>
      </c>
      <c r="O86" s="27">
        <v>3</v>
      </c>
      <c r="P86" s="5">
        <v>-1.9344000000000006</v>
      </c>
      <c r="Q86" s="5">
        <v>0.41599999999999998</v>
      </c>
    </row>
    <row r="87" spans="1:17">
      <c r="A87" s="1">
        <v>77</v>
      </c>
      <c r="B87" s="1" t="s">
        <v>202</v>
      </c>
      <c r="C87" s="1">
        <v>118038</v>
      </c>
      <c r="D87" s="7">
        <v>43080</v>
      </c>
      <c r="E87" s="1" t="s">
        <v>203</v>
      </c>
      <c r="F87" s="1" t="s">
        <v>205</v>
      </c>
      <c r="G87" s="1" t="s">
        <v>70</v>
      </c>
      <c r="H87" s="1" t="s">
        <v>205</v>
      </c>
      <c r="I87" s="1" t="s">
        <v>71</v>
      </c>
      <c r="J87" s="1" t="s">
        <v>205</v>
      </c>
      <c r="K87" s="1" t="s">
        <v>26</v>
      </c>
      <c r="L87" s="1" t="s">
        <v>205</v>
      </c>
      <c r="M87" s="1" t="s">
        <v>47</v>
      </c>
      <c r="N87" s="5">
        <v>9.7080000000000002</v>
      </c>
      <c r="O87" s="27">
        <v>3</v>
      </c>
      <c r="P87" s="5">
        <v>-5.8248000000000015</v>
      </c>
      <c r="Q87" s="5">
        <v>3.2360000000000002</v>
      </c>
    </row>
    <row r="88" spans="1:17">
      <c r="A88" s="1">
        <v>78</v>
      </c>
      <c r="B88" s="1" t="s">
        <v>202</v>
      </c>
      <c r="C88" s="1">
        <v>118038</v>
      </c>
      <c r="D88" s="7">
        <v>43080</v>
      </c>
      <c r="E88" s="1" t="s">
        <v>203</v>
      </c>
      <c r="F88" s="1" t="s">
        <v>206</v>
      </c>
      <c r="G88" s="1" t="s">
        <v>70</v>
      </c>
      <c r="H88" s="1" t="s">
        <v>206</v>
      </c>
      <c r="I88" s="1" t="s">
        <v>71</v>
      </c>
      <c r="J88" s="1" t="s">
        <v>206</v>
      </c>
      <c r="K88" s="1" t="s">
        <v>35</v>
      </c>
      <c r="L88" s="1" t="s">
        <v>206</v>
      </c>
      <c r="M88" s="1" t="s">
        <v>43</v>
      </c>
      <c r="N88" s="5">
        <v>27.240000000000002</v>
      </c>
      <c r="O88" s="27">
        <v>3</v>
      </c>
      <c r="P88" s="5">
        <v>2.724000000000002</v>
      </c>
      <c r="Q88" s="5">
        <v>9.08</v>
      </c>
    </row>
    <row r="89" spans="1:17">
      <c r="A89" s="1">
        <v>79</v>
      </c>
      <c r="B89" s="1" t="s">
        <v>207</v>
      </c>
      <c r="C89" s="1">
        <v>147606</v>
      </c>
      <c r="D89" s="7">
        <v>41974</v>
      </c>
      <c r="E89" s="1" t="s">
        <v>197</v>
      </c>
      <c r="F89" s="1" t="s">
        <v>208</v>
      </c>
      <c r="G89" s="1" t="s">
        <v>70</v>
      </c>
      <c r="H89" s="1" t="s">
        <v>208</v>
      </c>
      <c r="I89" s="1" t="s">
        <v>71</v>
      </c>
      <c r="J89" s="1" t="s">
        <v>208</v>
      </c>
      <c r="K89" s="1" t="s">
        <v>26</v>
      </c>
      <c r="L89" s="1" t="s">
        <v>208</v>
      </c>
      <c r="M89" s="1" t="s">
        <v>47</v>
      </c>
      <c r="N89" s="5">
        <v>19.3</v>
      </c>
      <c r="O89" s="27">
        <v>5</v>
      </c>
      <c r="P89" s="5">
        <v>-14.475000000000001</v>
      </c>
      <c r="Q89" s="5">
        <v>3.86</v>
      </c>
    </row>
    <row r="90" spans="1:17">
      <c r="A90" s="1">
        <v>80</v>
      </c>
      <c r="B90" s="1" t="s">
        <v>209</v>
      </c>
      <c r="C90" s="1">
        <v>127208</v>
      </c>
      <c r="D90" s="7">
        <v>42536</v>
      </c>
      <c r="E90" s="1" t="s">
        <v>210</v>
      </c>
      <c r="F90" s="1" t="s">
        <v>212</v>
      </c>
      <c r="G90" s="1" t="s">
        <v>211</v>
      </c>
      <c r="H90" s="1" t="s">
        <v>212</v>
      </c>
      <c r="I90" s="1" t="s">
        <v>24</v>
      </c>
      <c r="J90" s="1" t="s">
        <v>212</v>
      </c>
      <c r="K90" s="1" t="s">
        <v>35</v>
      </c>
      <c r="L90" s="1" t="s">
        <v>212</v>
      </c>
      <c r="M90" s="1" t="s">
        <v>56</v>
      </c>
      <c r="N90" s="5">
        <v>208.16</v>
      </c>
      <c r="O90" s="27">
        <v>1</v>
      </c>
      <c r="P90" s="5">
        <v>56.20320000000001</v>
      </c>
      <c r="Q90" s="5">
        <v>208.16</v>
      </c>
    </row>
    <row r="91" spans="1:17">
      <c r="A91" s="1">
        <v>81</v>
      </c>
      <c r="B91" s="1" t="s">
        <v>209</v>
      </c>
      <c r="C91" s="1">
        <v>127208</v>
      </c>
      <c r="D91" s="7">
        <v>42536</v>
      </c>
      <c r="E91" s="1" t="s">
        <v>210</v>
      </c>
      <c r="F91" s="1" t="s">
        <v>213</v>
      </c>
      <c r="G91" s="1" t="s">
        <v>211</v>
      </c>
      <c r="H91" s="1" t="s">
        <v>213</v>
      </c>
      <c r="I91" s="1" t="s">
        <v>24</v>
      </c>
      <c r="J91" s="1" t="s">
        <v>213</v>
      </c>
      <c r="K91" s="1" t="s">
        <v>35</v>
      </c>
      <c r="L91" s="1" t="s">
        <v>213</v>
      </c>
      <c r="M91" s="1" t="s">
        <v>54</v>
      </c>
      <c r="N91" s="5">
        <v>16.740000000000002</v>
      </c>
      <c r="O91" s="27">
        <v>3</v>
      </c>
      <c r="P91" s="5">
        <v>8.0351999999999997</v>
      </c>
      <c r="Q91" s="5">
        <v>5.58</v>
      </c>
    </row>
    <row r="92" spans="1:17">
      <c r="A92" s="1">
        <v>82</v>
      </c>
      <c r="B92" s="1" t="s">
        <v>214</v>
      </c>
      <c r="C92" s="1">
        <v>139451</v>
      </c>
      <c r="D92" s="7">
        <v>41928</v>
      </c>
      <c r="E92" s="1" t="s">
        <v>215</v>
      </c>
      <c r="F92" s="1" t="s">
        <v>216</v>
      </c>
      <c r="G92" s="1" t="s">
        <v>32</v>
      </c>
      <c r="H92" s="1" t="s">
        <v>216</v>
      </c>
      <c r="I92" s="1" t="s">
        <v>33</v>
      </c>
      <c r="J92" s="1" t="s">
        <v>216</v>
      </c>
      <c r="K92" s="1" t="s">
        <v>35</v>
      </c>
      <c r="L92" s="1" t="s">
        <v>216</v>
      </c>
      <c r="M92" s="1" t="s">
        <v>49</v>
      </c>
      <c r="N92" s="5">
        <v>14.9</v>
      </c>
      <c r="O92" s="27">
        <v>5</v>
      </c>
      <c r="P92" s="5">
        <v>4.1720000000000006</v>
      </c>
      <c r="Q92" s="5">
        <v>2.98</v>
      </c>
    </row>
    <row r="93" spans="1:17">
      <c r="A93" s="1">
        <v>83</v>
      </c>
      <c r="B93" s="1" t="s">
        <v>214</v>
      </c>
      <c r="C93" s="1">
        <v>139451</v>
      </c>
      <c r="D93" s="7">
        <v>41928</v>
      </c>
      <c r="E93" s="1" t="s">
        <v>215</v>
      </c>
      <c r="F93" s="1" t="s">
        <v>217</v>
      </c>
      <c r="G93" s="1" t="s">
        <v>32</v>
      </c>
      <c r="H93" s="1" t="s">
        <v>217</v>
      </c>
      <c r="I93" s="1" t="s">
        <v>33</v>
      </c>
      <c r="J93" s="1" t="s">
        <v>217</v>
      </c>
      <c r="K93" s="1" t="s">
        <v>35</v>
      </c>
      <c r="L93" s="1" t="s">
        <v>217</v>
      </c>
      <c r="M93" s="1" t="s">
        <v>43</v>
      </c>
      <c r="N93" s="5">
        <v>21.39</v>
      </c>
      <c r="O93" s="27">
        <v>1</v>
      </c>
      <c r="P93" s="5">
        <v>6.2030999999999992</v>
      </c>
      <c r="Q93" s="5">
        <v>21.39</v>
      </c>
    </row>
    <row r="94" spans="1:17">
      <c r="A94" s="1">
        <v>84</v>
      </c>
      <c r="B94" s="1" t="s">
        <v>218</v>
      </c>
      <c r="C94" s="1">
        <v>149734</v>
      </c>
      <c r="D94" s="7">
        <v>42255</v>
      </c>
      <c r="E94" s="1" t="s">
        <v>219</v>
      </c>
      <c r="F94" s="1" t="s">
        <v>220</v>
      </c>
      <c r="G94" s="1" t="s">
        <v>61</v>
      </c>
      <c r="H94" s="1" t="s">
        <v>220</v>
      </c>
      <c r="I94" s="1" t="s">
        <v>24</v>
      </c>
      <c r="J94" s="1" t="s">
        <v>220</v>
      </c>
      <c r="K94" s="1" t="s">
        <v>35</v>
      </c>
      <c r="L94" s="1" t="s">
        <v>220</v>
      </c>
      <c r="M94" s="1" t="s">
        <v>110</v>
      </c>
      <c r="N94" s="5">
        <v>200.98400000000004</v>
      </c>
      <c r="O94" s="27">
        <v>7</v>
      </c>
      <c r="P94" s="5">
        <v>62.807499999999976</v>
      </c>
      <c r="Q94" s="5">
        <v>28.712</v>
      </c>
    </row>
    <row r="95" spans="1:17">
      <c r="A95" s="1">
        <v>85</v>
      </c>
      <c r="B95" s="1" t="s">
        <v>221</v>
      </c>
      <c r="C95" s="1">
        <v>119662</v>
      </c>
      <c r="D95" s="7">
        <v>43055</v>
      </c>
      <c r="E95" s="1" t="s">
        <v>222</v>
      </c>
      <c r="F95" s="1" t="s">
        <v>223</v>
      </c>
      <c r="G95" s="1" t="s">
        <v>129</v>
      </c>
      <c r="H95" s="1" t="s">
        <v>223</v>
      </c>
      <c r="I95" s="1" t="s">
        <v>71</v>
      </c>
      <c r="J95" s="1" t="s">
        <v>223</v>
      </c>
      <c r="K95" s="1" t="s">
        <v>35</v>
      </c>
      <c r="L95" s="1" t="s">
        <v>223</v>
      </c>
      <c r="M95" s="1" t="s">
        <v>43</v>
      </c>
      <c r="N95" s="5">
        <v>230.376</v>
      </c>
      <c r="O95" s="27">
        <v>3</v>
      </c>
      <c r="P95" s="5">
        <v>-48.954900000000002</v>
      </c>
      <c r="Q95" s="5">
        <v>76.792000000000002</v>
      </c>
    </row>
    <row r="96" spans="1:17">
      <c r="A96" s="1">
        <v>86</v>
      </c>
      <c r="B96" s="1" t="s">
        <v>224</v>
      </c>
      <c r="C96" s="1">
        <v>140088</v>
      </c>
      <c r="D96" s="7">
        <v>42885</v>
      </c>
      <c r="E96" s="1" t="s">
        <v>143</v>
      </c>
      <c r="F96" s="1" t="s">
        <v>226</v>
      </c>
      <c r="G96" s="1" t="s">
        <v>225</v>
      </c>
      <c r="H96" s="1" t="s">
        <v>226</v>
      </c>
      <c r="I96" s="1" t="s">
        <v>24</v>
      </c>
      <c r="J96" s="1" t="s">
        <v>226</v>
      </c>
      <c r="K96" s="1" t="s">
        <v>26</v>
      </c>
      <c r="L96" s="1" t="s">
        <v>226</v>
      </c>
      <c r="M96" s="1" t="s">
        <v>29</v>
      </c>
      <c r="N96" s="5">
        <v>301.95999999999998</v>
      </c>
      <c r="O96" s="27">
        <v>2</v>
      </c>
      <c r="P96" s="5">
        <v>33.215599999999995</v>
      </c>
      <c r="Q96" s="5">
        <v>150.97999999999999</v>
      </c>
    </row>
    <row r="97" spans="1:17">
      <c r="A97" s="1">
        <v>87</v>
      </c>
      <c r="B97" s="1" t="s">
        <v>227</v>
      </c>
      <c r="C97" s="1">
        <v>155558</v>
      </c>
      <c r="D97" s="7">
        <v>43041</v>
      </c>
      <c r="E97" s="1" t="s">
        <v>228</v>
      </c>
      <c r="F97" s="1" t="s">
        <v>229</v>
      </c>
      <c r="G97" s="1" t="s">
        <v>139</v>
      </c>
      <c r="H97" s="1" t="s">
        <v>229</v>
      </c>
      <c r="I97" s="1" t="s">
        <v>71</v>
      </c>
      <c r="J97" s="1" t="s">
        <v>229</v>
      </c>
      <c r="K97" s="1" t="s">
        <v>51</v>
      </c>
      <c r="L97" s="1" t="s">
        <v>229</v>
      </c>
      <c r="M97" s="1" t="s">
        <v>103</v>
      </c>
      <c r="N97" s="5">
        <v>19.989999999999998</v>
      </c>
      <c r="O97" s="27">
        <v>1</v>
      </c>
      <c r="P97" s="5">
        <v>6.796599999999998</v>
      </c>
      <c r="Q97" s="5">
        <v>19.989999999999998</v>
      </c>
    </row>
    <row r="98" spans="1:17">
      <c r="A98" s="1">
        <v>88</v>
      </c>
      <c r="B98" s="1" t="s">
        <v>227</v>
      </c>
      <c r="C98" s="1">
        <v>155558</v>
      </c>
      <c r="D98" s="7">
        <v>43041</v>
      </c>
      <c r="E98" s="1" t="s">
        <v>228</v>
      </c>
      <c r="F98" s="1" t="s">
        <v>230</v>
      </c>
      <c r="G98" s="1" t="s">
        <v>139</v>
      </c>
      <c r="H98" s="1" t="s">
        <v>230</v>
      </c>
      <c r="I98" s="1" t="s">
        <v>71</v>
      </c>
      <c r="J98" s="1" t="s">
        <v>230</v>
      </c>
      <c r="K98" s="1" t="s">
        <v>35</v>
      </c>
      <c r="L98" s="1" t="s">
        <v>230</v>
      </c>
      <c r="M98" s="1" t="s">
        <v>36</v>
      </c>
      <c r="N98" s="5">
        <v>6.16</v>
      </c>
      <c r="O98" s="27">
        <v>2</v>
      </c>
      <c r="P98" s="5">
        <v>2.9567999999999999</v>
      </c>
      <c r="Q98" s="5">
        <v>3.08</v>
      </c>
    </row>
    <row r="99" spans="1:17">
      <c r="A99" s="1">
        <v>89</v>
      </c>
      <c r="B99" s="1" t="s">
        <v>231</v>
      </c>
      <c r="C99" s="1">
        <v>159695</v>
      </c>
      <c r="D99" s="7">
        <v>42470</v>
      </c>
      <c r="E99" s="1" t="s">
        <v>232</v>
      </c>
      <c r="F99" s="1" t="s">
        <v>233</v>
      </c>
      <c r="G99" s="1" t="s">
        <v>70</v>
      </c>
      <c r="H99" s="1" t="s">
        <v>233</v>
      </c>
      <c r="I99" s="1" t="s">
        <v>71</v>
      </c>
      <c r="J99" s="1" t="s">
        <v>233</v>
      </c>
      <c r="K99" s="1" t="s">
        <v>35</v>
      </c>
      <c r="L99" s="1" t="s">
        <v>233</v>
      </c>
      <c r="M99" s="1" t="s">
        <v>43</v>
      </c>
      <c r="N99" s="5">
        <v>158.36800000000002</v>
      </c>
      <c r="O99" s="27">
        <v>7</v>
      </c>
      <c r="P99" s="5">
        <v>13.857199999999999</v>
      </c>
      <c r="Q99" s="5">
        <v>22.623999999999999</v>
      </c>
    </row>
    <row r="100" spans="1:17">
      <c r="A100" s="1">
        <v>90</v>
      </c>
      <c r="B100" s="1" t="s">
        <v>234</v>
      </c>
      <c r="C100" s="1">
        <v>109806</v>
      </c>
      <c r="D100" s="7">
        <v>42635</v>
      </c>
      <c r="E100" s="1" t="s">
        <v>235</v>
      </c>
      <c r="F100" s="1" t="s">
        <v>236</v>
      </c>
      <c r="G100" s="1" t="s">
        <v>32</v>
      </c>
      <c r="H100" s="1" t="s">
        <v>236</v>
      </c>
      <c r="I100" s="1" t="s">
        <v>33</v>
      </c>
      <c r="J100" s="1" t="s">
        <v>236</v>
      </c>
      <c r="K100" s="1" t="s">
        <v>35</v>
      </c>
      <c r="L100" s="1" t="s">
        <v>236</v>
      </c>
      <c r="M100" s="1" t="s">
        <v>49</v>
      </c>
      <c r="N100" s="5">
        <v>20.100000000000001</v>
      </c>
      <c r="O100" s="27">
        <v>3</v>
      </c>
      <c r="P100" s="5">
        <v>6.6329999999999982</v>
      </c>
      <c r="Q100" s="5">
        <v>6.7</v>
      </c>
    </row>
    <row r="101" spans="1:17">
      <c r="A101" s="1">
        <v>91</v>
      </c>
      <c r="B101" s="1" t="s">
        <v>234</v>
      </c>
      <c r="C101" s="1">
        <v>109806</v>
      </c>
      <c r="D101" s="7">
        <v>42635</v>
      </c>
      <c r="E101" s="1" t="s">
        <v>235</v>
      </c>
      <c r="F101" s="1" t="s">
        <v>130</v>
      </c>
      <c r="G101" s="1" t="s">
        <v>32</v>
      </c>
      <c r="H101" s="1" t="s">
        <v>130</v>
      </c>
      <c r="I101" s="1" t="s">
        <v>33</v>
      </c>
      <c r="J101" s="1" t="s">
        <v>130</v>
      </c>
      <c r="K101" s="1" t="s">
        <v>51</v>
      </c>
      <c r="L101" s="1" t="s">
        <v>130</v>
      </c>
      <c r="M101" s="1" t="s">
        <v>52</v>
      </c>
      <c r="N101" s="5">
        <v>73.584000000000003</v>
      </c>
      <c r="O101" s="27">
        <v>2</v>
      </c>
      <c r="P101" s="5">
        <v>8.2781999999999982</v>
      </c>
      <c r="Q101" s="5">
        <v>36.792000000000002</v>
      </c>
    </row>
    <row r="102" spans="1:17">
      <c r="A102" s="1">
        <v>92</v>
      </c>
      <c r="B102" s="1" t="s">
        <v>234</v>
      </c>
      <c r="C102" s="1">
        <v>109806</v>
      </c>
      <c r="D102" s="7">
        <v>42635</v>
      </c>
      <c r="E102" s="1" t="s">
        <v>235</v>
      </c>
      <c r="F102" s="1" t="s">
        <v>237</v>
      </c>
      <c r="G102" s="1" t="s">
        <v>32</v>
      </c>
      <c r="H102" s="1" t="s">
        <v>237</v>
      </c>
      <c r="I102" s="1" t="s">
        <v>33</v>
      </c>
      <c r="J102" s="1" t="s">
        <v>237</v>
      </c>
      <c r="K102" s="1" t="s">
        <v>35</v>
      </c>
      <c r="L102" s="1" t="s">
        <v>237</v>
      </c>
      <c r="M102" s="1" t="s">
        <v>63</v>
      </c>
      <c r="N102" s="5">
        <v>6.48</v>
      </c>
      <c r="O102" s="27">
        <v>1</v>
      </c>
      <c r="P102" s="5">
        <v>3.1104000000000003</v>
      </c>
      <c r="Q102" s="5">
        <v>6.48</v>
      </c>
    </row>
    <row r="103" spans="1:17">
      <c r="A103" s="1">
        <v>93</v>
      </c>
      <c r="B103" s="1" t="s">
        <v>238</v>
      </c>
      <c r="C103" s="1">
        <v>149587</v>
      </c>
      <c r="D103" s="7">
        <v>42040</v>
      </c>
      <c r="E103" s="1" t="s">
        <v>239</v>
      </c>
      <c r="F103" s="1" t="s">
        <v>240</v>
      </c>
      <c r="G103" s="1" t="s">
        <v>139</v>
      </c>
      <c r="H103" s="1" t="s">
        <v>240</v>
      </c>
      <c r="I103" s="1" t="s">
        <v>71</v>
      </c>
      <c r="J103" s="1" t="s">
        <v>240</v>
      </c>
      <c r="K103" s="1" t="s">
        <v>35</v>
      </c>
      <c r="L103" s="1" t="s">
        <v>240</v>
      </c>
      <c r="M103" s="1" t="s">
        <v>63</v>
      </c>
      <c r="N103" s="5">
        <v>12.96</v>
      </c>
      <c r="O103" s="27">
        <v>2</v>
      </c>
      <c r="P103" s="5">
        <v>6.2208000000000006</v>
      </c>
      <c r="Q103" s="5">
        <v>6.48</v>
      </c>
    </row>
    <row r="104" spans="1:17">
      <c r="A104" s="1">
        <v>94</v>
      </c>
      <c r="B104" s="1" t="s">
        <v>238</v>
      </c>
      <c r="C104" s="1">
        <v>149587</v>
      </c>
      <c r="D104" s="7">
        <v>42040</v>
      </c>
      <c r="E104" s="1" t="s">
        <v>239</v>
      </c>
      <c r="F104" s="1" t="s">
        <v>241</v>
      </c>
      <c r="G104" s="1" t="s">
        <v>139</v>
      </c>
      <c r="H104" s="1" t="s">
        <v>241</v>
      </c>
      <c r="I104" s="1" t="s">
        <v>71</v>
      </c>
      <c r="J104" s="1" t="s">
        <v>241</v>
      </c>
      <c r="K104" s="1" t="s">
        <v>26</v>
      </c>
      <c r="L104" s="1" t="s">
        <v>241</v>
      </c>
      <c r="M104" s="1" t="s">
        <v>47</v>
      </c>
      <c r="N104" s="5">
        <v>53.34</v>
      </c>
      <c r="O104" s="27">
        <v>3</v>
      </c>
      <c r="P104" s="5">
        <v>16.535399999999996</v>
      </c>
      <c r="Q104" s="5">
        <v>17.78</v>
      </c>
    </row>
    <row r="105" spans="1:17">
      <c r="A105" s="1">
        <v>95</v>
      </c>
      <c r="B105" s="1" t="s">
        <v>238</v>
      </c>
      <c r="C105" s="1">
        <v>149587</v>
      </c>
      <c r="D105" s="7">
        <v>42040</v>
      </c>
      <c r="E105" s="1" t="s">
        <v>239</v>
      </c>
      <c r="F105" s="1" t="s">
        <v>242</v>
      </c>
      <c r="G105" s="1" t="s">
        <v>139</v>
      </c>
      <c r="H105" s="1" t="s">
        <v>242</v>
      </c>
      <c r="I105" s="1" t="s">
        <v>71</v>
      </c>
      <c r="J105" s="1" t="s">
        <v>242</v>
      </c>
      <c r="K105" s="1" t="s">
        <v>35</v>
      </c>
      <c r="L105" s="1" t="s">
        <v>242</v>
      </c>
      <c r="M105" s="1" t="s">
        <v>54</v>
      </c>
      <c r="N105" s="5">
        <v>32.96</v>
      </c>
      <c r="O105" s="27">
        <v>2</v>
      </c>
      <c r="P105" s="5">
        <v>16.150400000000001</v>
      </c>
      <c r="Q105" s="5">
        <v>16.48</v>
      </c>
    </row>
    <row r="106" spans="1:17">
      <c r="A106" s="1">
        <v>96</v>
      </c>
      <c r="B106" s="1" t="s">
        <v>243</v>
      </c>
      <c r="C106" s="1">
        <v>109484</v>
      </c>
      <c r="D106" s="7">
        <v>43051</v>
      </c>
      <c r="E106" s="1" t="s">
        <v>244</v>
      </c>
      <c r="F106" s="1" t="s">
        <v>246</v>
      </c>
      <c r="G106" s="1" t="s">
        <v>245</v>
      </c>
      <c r="H106" s="1" t="s">
        <v>246</v>
      </c>
      <c r="I106" s="1" t="s">
        <v>33</v>
      </c>
      <c r="J106" s="1" t="s">
        <v>246</v>
      </c>
      <c r="K106" s="1" t="s">
        <v>35</v>
      </c>
      <c r="L106" s="1" t="s">
        <v>246</v>
      </c>
      <c r="M106" s="1" t="s">
        <v>54</v>
      </c>
      <c r="N106" s="5">
        <v>5.6820000000000013</v>
      </c>
      <c r="O106" s="27">
        <v>1</v>
      </c>
      <c r="P106" s="5">
        <v>-3.7880000000000003</v>
      </c>
      <c r="Q106" s="5">
        <v>5.6820000000000004</v>
      </c>
    </row>
    <row r="107" spans="1:17">
      <c r="A107" s="1">
        <v>97</v>
      </c>
      <c r="B107" s="1" t="s">
        <v>247</v>
      </c>
      <c r="C107" s="1">
        <v>161018</v>
      </c>
      <c r="D107" s="7">
        <v>43050</v>
      </c>
      <c r="E107" s="1" t="s">
        <v>248</v>
      </c>
      <c r="F107" s="1" t="s">
        <v>249</v>
      </c>
      <c r="G107" s="1" t="s">
        <v>161</v>
      </c>
      <c r="H107" s="1" t="s">
        <v>249</v>
      </c>
      <c r="I107" s="1" t="s">
        <v>95</v>
      </c>
      <c r="J107" s="1" t="s">
        <v>249</v>
      </c>
      <c r="K107" s="1" t="s">
        <v>26</v>
      </c>
      <c r="L107" s="1" t="s">
        <v>249</v>
      </c>
      <c r="M107" s="1" t="s">
        <v>47</v>
      </c>
      <c r="N107" s="5">
        <v>96.53</v>
      </c>
      <c r="O107" s="27">
        <v>7</v>
      </c>
      <c r="P107" s="5">
        <v>40.5426</v>
      </c>
      <c r="Q107" s="5">
        <v>13.79</v>
      </c>
    </row>
    <row r="108" spans="1:17">
      <c r="A108" s="1">
        <v>98</v>
      </c>
      <c r="B108" s="1" t="s">
        <v>250</v>
      </c>
      <c r="C108" s="1">
        <v>157833</v>
      </c>
      <c r="D108" s="7">
        <v>42906</v>
      </c>
      <c r="E108" s="1" t="s">
        <v>251</v>
      </c>
      <c r="F108" s="1" t="s">
        <v>252</v>
      </c>
      <c r="G108" s="1" t="s">
        <v>32</v>
      </c>
      <c r="H108" s="1" t="s">
        <v>252</v>
      </c>
      <c r="I108" s="1" t="s">
        <v>33</v>
      </c>
      <c r="J108" s="1" t="s">
        <v>252</v>
      </c>
      <c r="K108" s="1" t="s">
        <v>35</v>
      </c>
      <c r="L108" s="1" t="s">
        <v>252</v>
      </c>
      <c r="M108" s="1" t="s">
        <v>54</v>
      </c>
      <c r="N108" s="5">
        <v>51.311999999999998</v>
      </c>
      <c r="O108" s="27">
        <v>3</v>
      </c>
      <c r="P108" s="5">
        <v>17.959199999999999</v>
      </c>
      <c r="Q108" s="5">
        <v>17.103999999999999</v>
      </c>
    </row>
    <row r="109" spans="1:17">
      <c r="A109" s="1">
        <v>99</v>
      </c>
      <c r="B109" s="1" t="s">
        <v>253</v>
      </c>
      <c r="C109" s="1">
        <v>149223</v>
      </c>
      <c r="D109" s="7">
        <v>42624</v>
      </c>
      <c r="E109" s="1" t="s">
        <v>254</v>
      </c>
      <c r="F109" s="1" t="s">
        <v>255</v>
      </c>
      <c r="G109" s="1" t="s">
        <v>139</v>
      </c>
      <c r="H109" s="1" t="s">
        <v>255</v>
      </c>
      <c r="I109" s="1" t="s">
        <v>71</v>
      </c>
      <c r="J109" s="1" t="s">
        <v>255</v>
      </c>
      <c r="K109" s="1" t="s">
        <v>35</v>
      </c>
      <c r="L109" s="1" t="s">
        <v>255</v>
      </c>
      <c r="M109" s="1" t="s">
        <v>56</v>
      </c>
      <c r="N109" s="5">
        <v>77.88</v>
      </c>
      <c r="O109" s="27">
        <v>6</v>
      </c>
      <c r="P109" s="5">
        <v>22.585199999999993</v>
      </c>
      <c r="Q109" s="5">
        <v>12.98</v>
      </c>
    </row>
    <row r="110" spans="1:17">
      <c r="A110" s="1">
        <v>100</v>
      </c>
      <c r="B110" s="1" t="s">
        <v>256</v>
      </c>
      <c r="C110" s="1">
        <v>158568</v>
      </c>
      <c r="D110" s="7">
        <v>42615</v>
      </c>
      <c r="E110" s="1" t="s">
        <v>257</v>
      </c>
      <c r="F110" s="1" t="s">
        <v>258</v>
      </c>
      <c r="G110" s="1" t="s">
        <v>129</v>
      </c>
      <c r="H110" s="1" t="s">
        <v>258</v>
      </c>
      <c r="I110" s="1" t="s">
        <v>71</v>
      </c>
      <c r="J110" s="1" t="s">
        <v>258</v>
      </c>
      <c r="K110" s="1" t="s">
        <v>35</v>
      </c>
      <c r="L110" s="1" t="s">
        <v>258</v>
      </c>
      <c r="M110" s="1" t="s">
        <v>63</v>
      </c>
      <c r="N110" s="5">
        <v>64.623999999999995</v>
      </c>
      <c r="O110" s="27">
        <v>7</v>
      </c>
      <c r="P110" s="5">
        <v>22.618399999999994</v>
      </c>
      <c r="Q110" s="5">
        <v>9.2319999999999993</v>
      </c>
    </row>
    <row r="111" spans="1:17">
      <c r="A111" s="1">
        <v>101</v>
      </c>
      <c r="B111" s="1" t="s">
        <v>256</v>
      </c>
      <c r="C111" s="1">
        <v>158568</v>
      </c>
      <c r="D111" s="7">
        <v>42615</v>
      </c>
      <c r="E111" s="1" t="s">
        <v>257</v>
      </c>
      <c r="F111" s="1" t="s">
        <v>259</v>
      </c>
      <c r="G111" s="1" t="s">
        <v>129</v>
      </c>
      <c r="H111" s="1" t="s">
        <v>259</v>
      </c>
      <c r="I111" s="1" t="s">
        <v>71</v>
      </c>
      <c r="J111" s="1" t="s">
        <v>259</v>
      </c>
      <c r="K111" s="1" t="s">
        <v>51</v>
      </c>
      <c r="L111" s="1" t="s">
        <v>259</v>
      </c>
      <c r="M111" s="1" t="s">
        <v>103</v>
      </c>
      <c r="N111" s="5">
        <v>95.976000000000013</v>
      </c>
      <c r="O111" s="27">
        <v>3</v>
      </c>
      <c r="P111" s="5">
        <v>-10.797300000000011</v>
      </c>
      <c r="Q111" s="5">
        <v>31.992000000000001</v>
      </c>
    </row>
    <row r="112" spans="1:17">
      <c r="A112" s="1">
        <v>102</v>
      </c>
      <c r="B112" s="1" t="s">
        <v>256</v>
      </c>
      <c r="C112" s="1">
        <v>158568</v>
      </c>
      <c r="D112" s="7">
        <v>42615</v>
      </c>
      <c r="E112" s="1" t="s">
        <v>257</v>
      </c>
      <c r="F112" s="1" t="s">
        <v>260</v>
      </c>
      <c r="G112" s="1" t="s">
        <v>129</v>
      </c>
      <c r="H112" s="1" t="s">
        <v>260</v>
      </c>
      <c r="I112" s="1" t="s">
        <v>71</v>
      </c>
      <c r="J112" s="1" t="s">
        <v>260</v>
      </c>
      <c r="K112" s="1" t="s">
        <v>35</v>
      </c>
      <c r="L112" s="1" t="s">
        <v>260</v>
      </c>
      <c r="M112" s="1" t="s">
        <v>54</v>
      </c>
      <c r="N112" s="5">
        <v>1.7879999999999996</v>
      </c>
      <c r="O112" s="27">
        <v>3</v>
      </c>
      <c r="P112" s="5">
        <v>-3.0396000000000001</v>
      </c>
      <c r="Q112" s="5">
        <v>0.59599999999999997</v>
      </c>
    </row>
    <row r="113" spans="1:17">
      <c r="A113" s="1">
        <v>103</v>
      </c>
      <c r="B113" s="1" t="s">
        <v>261</v>
      </c>
      <c r="C113" s="1">
        <v>129903</v>
      </c>
      <c r="D113" s="7">
        <v>42708</v>
      </c>
      <c r="E113" s="1" t="s">
        <v>262</v>
      </c>
      <c r="F113" s="1" t="s">
        <v>263</v>
      </c>
      <c r="G113" s="1" t="s">
        <v>139</v>
      </c>
      <c r="H113" s="1" t="s">
        <v>263</v>
      </c>
      <c r="I113" s="1" t="s">
        <v>71</v>
      </c>
      <c r="J113" s="1" t="s">
        <v>263</v>
      </c>
      <c r="K113" s="1" t="s">
        <v>35</v>
      </c>
      <c r="L113" s="1" t="s">
        <v>263</v>
      </c>
      <c r="M113" s="1" t="s">
        <v>63</v>
      </c>
      <c r="N113" s="5">
        <v>23.92</v>
      </c>
      <c r="O113" s="27">
        <v>4</v>
      </c>
      <c r="P113" s="5">
        <v>11.720800000000001</v>
      </c>
      <c r="Q113" s="5">
        <v>5.98</v>
      </c>
    </row>
    <row r="114" spans="1:17">
      <c r="A114" s="1">
        <v>104</v>
      </c>
      <c r="B114" s="1" t="s">
        <v>264</v>
      </c>
      <c r="C114" s="1">
        <v>156867</v>
      </c>
      <c r="D114" s="7">
        <v>42325</v>
      </c>
      <c r="E114" s="1" t="s">
        <v>265</v>
      </c>
      <c r="F114" s="1" t="s">
        <v>267</v>
      </c>
      <c r="G114" s="1" t="s">
        <v>266</v>
      </c>
      <c r="H114" s="1" t="s">
        <v>267</v>
      </c>
      <c r="I114" s="1" t="s">
        <v>33</v>
      </c>
      <c r="J114" s="1" t="s">
        <v>267</v>
      </c>
      <c r="K114" s="1" t="s">
        <v>51</v>
      </c>
      <c r="L114" s="1" t="s">
        <v>267</v>
      </c>
      <c r="M114" s="1" t="s">
        <v>103</v>
      </c>
      <c r="N114" s="5">
        <v>238.89600000000002</v>
      </c>
      <c r="O114" s="27">
        <v>6</v>
      </c>
      <c r="P114" s="5">
        <v>-26.875800000000012</v>
      </c>
      <c r="Q114" s="5">
        <v>39.816000000000003</v>
      </c>
    </row>
    <row r="115" spans="1:17">
      <c r="A115" s="1">
        <v>105</v>
      </c>
      <c r="B115" s="1" t="s">
        <v>264</v>
      </c>
      <c r="C115" s="1">
        <v>156867</v>
      </c>
      <c r="D115" s="7">
        <v>42325</v>
      </c>
      <c r="E115" s="1" t="s">
        <v>265</v>
      </c>
      <c r="F115" s="1" t="s">
        <v>268</v>
      </c>
      <c r="G115" s="1" t="s">
        <v>266</v>
      </c>
      <c r="H115" s="1" t="s">
        <v>268</v>
      </c>
      <c r="I115" s="1" t="s">
        <v>33</v>
      </c>
      <c r="J115" s="1" t="s">
        <v>268</v>
      </c>
      <c r="K115" s="1" t="s">
        <v>26</v>
      </c>
      <c r="L115" s="1" t="s">
        <v>268</v>
      </c>
      <c r="M115" s="1" t="s">
        <v>47</v>
      </c>
      <c r="N115" s="5">
        <v>102.35999999999999</v>
      </c>
      <c r="O115" s="27">
        <v>3</v>
      </c>
      <c r="P115" s="5">
        <v>-3.8385000000000105</v>
      </c>
      <c r="Q115" s="5">
        <v>34.119999999999997</v>
      </c>
    </row>
    <row r="116" spans="1:17">
      <c r="A116" s="1">
        <v>106</v>
      </c>
      <c r="B116" s="1" t="s">
        <v>264</v>
      </c>
      <c r="C116" s="1">
        <v>156867</v>
      </c>
      <c r="D116" s="7">
        <v>42325</v>
      </c>
      <c r="E116" s="1" t="s">
        <v>265</v>
      </c>
      <c r="F116" s="1" t="s">
        <v>269</v>
      </c>
      <c r="G116" s="1" t="s">
        <v>266</v>
      </c>
      <c r="H116" s="1" t="s">
        <v>269</v>
      </c>
      <c r="I116" s="1" t="s">
        <v>33</v>
      </c>
      <c r="J116" s="1" t="s">
        <v>269</v>
      </c>
      <c r="K116" s="1" t="s">
        <v>35</v>
      </c>
      <c r="L116" s="1" t="s">
        <v>269</v>
      </c>
      <c r="M116" s="1" t="s">
        <v>54</v>
      </c>
      <c r="N116" s="5">
        <v>36.882000000000005</v>
      </c>
      <c r="O116" s="27">
        <v>3</v>
      </c>
      <c r="P116" s="5">
        <v>-25.817399999999999</v>
      </c>
      <c r="Q116" s="5">
        <v>12.294</v>
      </c>
    </row>
    <row r="117" spans="1:17">
      <c r="A117" s="1">
        <v>107</v>
      </c>
      <c r="B117" s="1" t="s">
        <v>270</v>
      </c>
      <c r="C117" s="1">
        <v>119004</v>
      </c>
      <c r="D117" s="7">
        <v>43067</v>
      </c>
      <c r="E117" s="1" t="s">
        <v>271</v>
      </c>
      <c r="F117" s="1" t="s">
        <v>272</v>
      </c>
      <c r="G117" s="1" t="s">
        <v>61</v>
      </c>
      <c r="H117" s="1" t="s">
        <v>272</v>
      </c>
      <c r="I117" s="1" t="s">
        <v>24</v>
      </c>
      <c r="J117" s="1" t="s">
        <v>272</v>
      </c>
      <c r="K117" s="1" t="s">
        <v>51</v>
      </c>
      <c r="L117" s="1" t="s">
        <v>272</v>
      </c>
      <c r="M117" s="1" t="s">
        <v>103</v>
      </c>
      <c r="N117" s="5">
        <v>74.112000000000009</v>
      </c>
      <c r="O117" s="27">
        <v>8</v>
      </c>
      <c r="P117" s="5">
        <v>17.601600000000001</v>
      </c>
      <c r="Q117" s="5">
        <v>9.2639999999999993</v>
      </c>
    </row>
    <row r="118" spans="1:17">
      <c r="A118" s="1">
        <v>108</v>
      </c>
      <c r="B118" s="1" t="s">
        <v>270</v>
      </c>
      <c r="C118" s="1">
        <v>119004</v>
      </c>
      <c r="D118" s="7">
        <v>43067</v>
      </c>
      <c r="E118" s="1" t="s">
        <v>271</v>
      </c>
      <c r="F118" s="1" t="s">
        <v>273</v>
      </c>
      <c r="G118" s="1" t="s">
        <v>61</v>
      </c>
      <c r="H118" s="1" t="s">
        <v>273</v>
      </c>
      <c r="I118" s="1" t="s">
        <v>24</v>
      </c>
      <c r="J118" s="1" t="s">
        <v>273</v>
      </c>
      <c r="K118" s="1" t="s">
        <v>51</v>
      </c>
      <c r="L118" s="1" t="s">
        <v>273</v>
      </c>
      <c r="M118" s="1" t="s">
        <v>52</v>
      </c>
      <c r="N118" s="5">
        <v>27.992000000000004</v>
      </c>
      <c r="O118" s="27">
        <v>1</v>
      </c>
      <c r="P118" s="5">
        <v>2.0993999999999993</v>
      </c>
      <c r="Q118" s="5">
        <v>27.992000000000001</v>
      </c>
    </row>
    <row r="119" spans="1:17">
      <c r="A119" s="1">
        <v>109</v>
      </c>
      <c r="B119" s="1" t="s">
        <v>270</v>
      </c>
      <c r="C119" s="1">
        <v>119004</v>
      </c>
      <c r="D119" s="7">
        <v>43067</v>
      </c>
      <c r="E119" s="1" t="s">
        <v>271</v>
      </c>
      <c r="F119" s="1" t="s">
        <v>274</v>
      </c>
      <c r="G119" s="1" t="s">
        <v>61</v>
      </c>
      <c r="H119" s="1" t="s">
        <v>274</v>
      </c>
      <c r="I119" s="1" t="s">
        <v>24</v>
      </c>
      <c r="J119" s="1" t="s">
        <v>274</v>
      </c>
      <c r="K119" s="1" t="s">
        <v>35</v>
      </c>
      <c r="L119" s="1" t="s">
        <v>274</v>
      </c>
      <c r="M119" s="1" t="s">
        <v>49</v>
      </c>
      <c r="N119" s="5">
        <v>3.3040000000000003</v>
      </c>
      <c r="O119" s="27">
        <v>1</v>
      </c>
      <c r="P119" s="5">
        <v>1.0737999999999999</v>
      </c>
      <c r="Q119" s="5">
        <v>3.3039999999999998</v>
      </c>
    </row>
    <row r="120" spans="1:17">
      <c r="A120" s="1">
        <v>110</v>
      </c>
      <c r="B120" s="1" t="s">
        <v>275</v>
      </c>
      <c r="C120" s="1">
        <v>129476</v>
      </c>
      <c r="D120" s="7">
        <v>42297</v>
      </c>
      <c r="E120" s="1" t="s">
        <v>276</v>
      </c>
      <c r="F120" s="1" t="s">
        <v>277</v>
      </c>
      <c r="G120" s="1" t="s">
        <v>129</v>
      </c>
      <c r="H120" s="1" t="s">
        <v>277</v>
      </c>
      <c r="I120" s="1" t="s">
        <v>71</v>
      </c>
      <c r="J120" s="1" t="s">
        <v>277</v>
      </c>
      <c r="K120" s="1" t="s">
        <v>51</v>
      </c>
      <c r="L120" s="1" t="s">
        <v>277</v>
      </c>
      <c r="M120" s="1" t="s">
        <v>103</v>
      </c>
      <c r="N120" s="5">
        <v>339.96000000000004</v>
      </c>
      <c r="O120" s="27">
        <v>5</v>
      </c>
      <c r="P120" s="5">
        <v>67.991999999999962</v>
      </c>
      <c r="Q120" s="5">
        <v>67.992000000000004</v>
      </c>
    </row>
    <row r="121" spans="1:17">
      <c r="A121" s="1">
        <v>111</v>
      </c>
      <c r="B121" s="1" t="s">
        <v>278</v>
      </c>
      <c r="C121" s="1">
        <v>146780</v>
      </c>
      <c r="D121" s="7">
        <v>43099</v>
      </c>
      <c r="E121" s="1" t="s">
        <v>279</v>
      </c>
      <c r="F121" s="1" t="s">
        <v>280</v>
      </c>
      <c r="G121" s="1" t="s">
        <v>161</v>
      </c>
      <c r="H121" s="1" t="s">
        <v>280</v>
      </c>
      <c r="I121" s="1" t="s">
        <v>95</v>
      </c>
      <c r="J121" s="1" t="s">
        <v>280</v>
      </c>
      <c r="K121" s="1" t="s">
        <v>26</v>
      </c>
      <c r="L121" s="1" t="s">
        <v>280</v>
      </c>
      <c r="M121" s="1" t="s">
        <v>47</v>
      </c>
      <c r="N121" s="5">
        <v>41.96</v>
      </c>
      <c r="O121" s="27">
        <v>2</v>
      </c>
      <c r="P121" s="5">
        <v>10.909600000000001</v>
      </c>
      <c r="Q121" s="5">
        <v>20.98</v>
      </c>
    </row>
    <row r="122" spans="1:17">
      <c r="A122" s="1">
        <v>112</v>
      </c>
      <c r="B122" s="1" t="s">
        <v>281</v>
      </c>
      <c r="C122" s="1">
        <v>128867</v>
      </c>
      <c r="D122" s="7">
        <v>42684</v>
      </c>
      <c r="E122" s="1" t="s">
        <v>282</v>
      </c>
      <c r="F122" s="1" t="s">
        <v>284</v>
      </c>
      <c r="G122" s="1" t="s">
        <v>283</v>
      </c>
      <c r="H122" s="1" t="s">
        <v>284</v>
      </c>
      <c r="I122" s="1" t="s">
        <v>71</v>
      </c>
      <c r="J122" s="1" t="s">
        <v>284</v>
      </c>
      <c r="K122" s="1" t="s">
        <v>35</v>
      </c>
      <c r="L122" s="1" t="s">
        <v>284</v>
      </c>
      <c r="M122" s="1" t="s">
        <v>49</v>
      </c>
      <c r="N122" s="5">
        <v>75.959999999999994</v>
      </c>
      <c r="O122" s="27">
        <v>2</v>
      </c>
      <c r="P122" s="5">
        <v>22.78799999999999</v>
      </c>
      <c r="Q122" s="5">
        <v>37.979999999999997</v>
      </c>
    </row>
    <row r="123" spans="1:17">
      <c r="A123" s="1">
        <v>113</v>
      </c>
      <c r="B123" s="1" t="s">
        <v>281</v>
      </c>
      <c r="C123" s="1">
        <v>128867</v>
      </c>
      <c r="D123" s="7">
        <v>42684</v>
      </c>
      <c r="E123" s="1" t="s">
        <v>282</v>
      </c>
      <c r="F123" s="1" t="s">
        <v>285</v>
      </c>
      <c r="G123" s="1" t="s">
        <v>283</v>
      </c>
      <c r="H123" s="1" t="s">
        <v>285</v>
      </c>
      <c r="I123" s="1" t="s">
        <v>71</v>
      </c>
      <c r="J123" s="1" t="s">
        <v>285</v>
      </c>
      <c r="K123" s="1" t="s">
        <v>35</v>
      </c>
      <c r="L123" s="1" t="s">
        <v>285</v>
      </c>
      <c r="M123" s="1" t="s">
        <v>54</v>
      </c>
      <c r="N123" s="5">
        <v>27.240000000000002</v>
      </c>
      <c r="O123" s="27">
        <v>6</v>
      </c>
      <c r="P123" s="5">
        <v>13.3476</v>
      </c>
      <c r="Q123" s="5">
        <v>4.54</v>
      </c>
    </row>
    <row r="124" spans="1:17">
      <c r="A124" s="1">
        <v>114</v>
      </c>
      <c r="B124" s="1" t="s">
        <v>286</v>
      </c>
      <c r="C124" s="1">
        <v>115259</v>
      </c>
      <c r="D124" s="7">
        <v>41878</v>
      </c>
      <c r="E124" s="1" t="s">
        <v>287</v>
      </c>
      <c r="F124" s="1" t="s">
        <v>289</v>
      </c>
      <c r="G124" s="1" t="s">
        <v>288</v>
      </c>
      <c r="H124" s="1" t="s">
        <v>289</v>
      </c>
      <c r="I124" s="1" t="s">
        <v>95</v>
      </c>
      <c r="J124" s="1" t="s">
        <v>289</v>
      </c>
      <c r="K124" s="1" t="s">
        <v>35</v>
      </c>
      <c r="L124" s="1" t="s">
        <v>289</v>
      </c>
      <c r="M124" s="1" t="s">
        <v>163</v>
      </c>
      <c r="N124" s="5">
        <v>40.096000000000004</v>
      </c>
      <c r="O124" s="27">
        <v>14</v>
      </c>
      <c r="P124" s="5">
        <v>14.534799999999997</v>
      </c>
      <c r="Q124" s="5">
        <v>2.8639999999999999</v>
      </c>
    </row>
    <row r="125" spans="1:17">
      <c r="A125" s="1">
        <v>115</v>
      </c>
      <c r="B125" s="1" t="s">
        <v>286</v>
      </c>
      <c r="C125" s="1">
        <v>115259</v>
      </c>
      <c r="D125" s="7">
        <v>41878</v>
      </c>
      <c r="E125" s="1" t="s">
        <v>287</v>
      </c>
      <c r="F125" s="1" t="s">
        <v>290</v>
      </c>
      <c r="G125" s="1" t="s">
        <v>288</v>
      </c>
      <c r="H125" s="1" t="s">
        <v>290</v>
      </c>
      <c r="I125" s="1" t="s">
        <v>95</v>
      </c>
      <c r="J125" s="1" t="s">
        <v>290</v>
      </c>
      <c r="K125" s="1" t="s">
        <v>35</v>
      </c>
      <c r="L125" s="1" t="s">
        <v>290</v>
      </c>
      <c r="M125" s="1" t="s">
        <v>110</v>
      </c>
      <c r="N125" s="5">
        <v>4.7200000000000006</v>
      </c>
      <c r="O125" s="27">
        <v>2</v>
      </c>
      <c r="P125" s="5">
        <v>1.6519999999999997</v>
      </c>
      <c r="Q125" s="5">
        <v>2.36</v>
      </c>
    </row>
    <row r="126" spans="1:17">
      <c r="A126" s="1">
        <v>116</v>
      </c>
      <c r="B126" s="1" t="s">
        <v>286</v>
      </c>
      <c r="C126" s="1">
        <v>115259</v>
      </c>
      <c r="D126" s="7">
        <v>41878</v>
      </c>
      <c r="E126" s="1" t="s">
        <v>287</v>
      </c>
      <c r="F126" s="1" t="s">
        <v>291</v>
      </c>
      <c r="G126" s="1" t="s">
        <v>288</v>
      </c>
      <c r="H126" s="1" t="s">
        <v>291</v>
      </c>
      <c r="I126" s="1" t="s">
        <v>95</v>
      </c>
      <c r="J126" s="1" t="s">
        <v>291</v>
      </c>
      <c r="K126" s="1" t="s">
        <v>35</v>
      </c>
      <c r="L126" s="1" t="s">
        <v>291</v>
      </c>
      <c r="M126" s="1" t="s">
        <v>63</v>
      </c>
      <c r="N126" s="5">
        <v>23.976000000000003</v>
      </c>
      <c r="O126" s="27">
        <v>3</v>
      </c>
      <c r="P126" s="5">
        <v>7.4924999999999988</v>
      </c>
      <c r="Q126" s="5">
        <v>7.992</v>
      </c>
    </row>
    <row r="127" spans="1:17">
      <c r="A127" s="1">
        <v>117</v>
      </c>
      <c r="B127" s="1" t="s">
        <v>286</v>
      </c>
      <c r="C127" s="1">
        <v>115259</v>
      </c>
      <c r="D127" s="7">
        <v>41878</v>
      </c>
      <c r="E127" s="1" t="s">
        <v>287</v>
      </c>
      <c r="F127" s="1" t="s">
        <v>292</v>
      </c>
      <c r="G127" s="1" t="s">
        <v>288</v>
      </c>
      <c r="H127" s="1" t="s">
        <v>292</v>
      </c>
      <c r="I127" s="1" t="s">
        <v>95</v>
      </c>
      <c r="J127" s="1" t="s">
        <v>292</v>
      </c>
      <c r="K127" s="1" t="s">
        <v>35</v>
      </c>
      <c r="L127" s="1" t="s">
        <v>292</v>
      </c>
      <c r="M127" s="1" t="s">
        <v>110</v>
      </c>
      <c r="N127" s="5">
        <v>130.464</v>
      </c>
      <c r="O127" s="27">
        <v>6</v>
      </c>
      <c r="P127" s="5">
        <v>44.031599999999997</v>
      </c>
      <c r="Q127" s="5">
        <v>21.744</v>
      </c>
    </row>
    <row r="128" spans="1:17">
      <c r="A128" s="1">
        <v>118</v>
      </c>
      <c r="B128" s="1" t="s">
        <v>293</v>
      </c>
      <c r="C128" s="1">
        <v>110457</v>
      </c>
      <c r="D128" s="7">
        <v>42069</v>
      </c>
      <c r="E128" s="1" t="s">
        <v>294</v>
      </c>
      <c r="F128" s="1" t="s">
        <v>295</v>
      </c>
      <c r="G128" s="1" t="s">
        <v>66</v>
      </c>
      <c r="H128" s="1" t="s">
        <v>295</v>
      </c>
      <c r="I128" s="1" t="s">
        <v>33</v>
      </c>
      <c r="J128" s="1" t="s">
        <v>295</v>
      </c>
      <c r="K128" s="1" t="s">
        <v>26</v>
      </c>
      <c r="L128" s="1" t="s">
        <v>295</v>
      </c>
      <c r="M128" s="1" t="s">
        <v>41</v>
      </c>
      <c r="N128" s="5">
        <v>787.53</v>
      </c>
      <c r="O128" s="27">
        <v>3</v>
      </c>
      <c r="P128" s="5">
        <v>165.38129999999995</v>
      </c>
      <c r="Q128" s="5">
        <v>262.51</v>
      </c>
    </row>
    <row r="129" spans="1:17">
      <c r="A129" s="1">
        <v>119</v>
      </c>
      <c r="B129" s="1" t="s">
        <v>296</v>
      </c>
      <c r="C129" s="1">
        <v>136476</v>
      </c>
      <c r="D129" s="7">
        <v>42104</v>
      </c>
      <c r="E129" s="1" t="s">
        <v>297</v>
      </c>
      <c r="F129" s="1" t="s">
        <v>298</v>
      </c>
      <c r="G129" s="1" t="s">
        <v>198</v>
      </c>
      <c r="H129" s="1" t="s">
        <v>298</v>
      </c>
      <c r="I129" s="1" t="s">
        <v>24</v>
      </c>
      <c r="J129" s="1" t="s">
        <v>298</v>
      </c>
      <c r="K129" s="1" t="s">
        <v>35</v>
      </c>
      <c r="L129" s="1" t="s">
        <v>298</v>
      </c>
      <c r="M129" s="1" t="s">
        <v>54</v>
      </c>
      <c r="N129" s="5">
        <v>157.79400000000004</v>
      </c>
      <c r="O129" s="27">
        <v>1</v>
      </c>
      <c r="P129" s="5">
        <v>-115.71559999999999</v>
      </c>
      <c r="Q129" s="5">
        <v>157.79400000000001</v>
      </c>
    </row>
    <row r="130" spans="1:17">
      <c r="A130" s="1">
        <v>120</v>
      </c>
      <c r="B130" s="1" t="s">
        <v>299</v>
      </c>
      <c r="C130" s="1">
        <v>103730</v>
      </c>
      <c r="D130" s="7">
        <v>42536</v>
      </c>
      <c r="E130" s="1" t="s">
        <v>300</v>
      </c>
      <c r="F130" s="1" t="s">
        <v>301</v>
      </c>
      <c r="G130" s="1" t="s">
        <v>148</v>
      </c>
      <c r="H130" s="1" t="s">
        <v>301</v>
      </c>
      <c r="I130" s="1" t="s">
        <v>95</v>
      </c>
      <c r="J130" s="1" t="s">
        <v>301</v>
      </c>
      <c r="K130" s="1" t="s">
        <v>26</v>
      </c>
      <c r="L130" s="1" t="s">
        <v>301</v>
      </c>
      <c r="M130" s="1" t="s">
        <v>47</v>
      </c>
      <c r="N130" s="5">
        <v>47.04</v>
      </c>
      <c r="O130" s="27">
        <v>3</v>
      </c>
      <c r="P130" s="5">
        <v>18.345599999999997</v>
      </c>
      <c r="Q130" s="5">
        <v>15.68</v>
      </c>
    </row>
    <row r="131" spans="1:17">
      <c r="A131" s="1">
        <v>121</v>
      </c>
      <c r="B131" s="1" t="s">
        <v>299</v>
      </c>
      <c r="C131" s="1">
        <v>103730</v>
      </c>
      <c r="D131" s="7">
        <v>42536</v>
      </c>
      <c r="E131" s="1" t="s">
        <v>300</v>
      </c>
      <c r="F131" s="1" t="s">
        <v>53</v>
      </c>
      <c r="G131" s="1" t="s">
        <v>148</v>
      </c>
      <c r="H131" s="1" t="s">
        <v>53</v>
      </c>
      <c r="I131" s="1" t="s">
        <v>95</v>
      </c>
      <c r="J131" s="1" t="s">
        <v>53</v>
      </c>
      <c r="K131" s="1" t="s">
        <v>35</v>
      </c>
      <c r="L131" s="1" t="s">
        <v>53</v>
      </c>
      <c r="M131" s="1" t="s">
        <v>54</v>
      </c>
      <c r="N131" s="5">
        <v>30.84</v>
      </c>
      <c r="O131" s="27">
        <v>4</v>
      </c>
      <c r="P131" s="5">
        <v>13.878</v>
      </c>
      <c r="Q131" s="5">
        <v>7.71</v>
      </c>
    </row>
    <row r="132" spans="1:17">
      <c r="A132" s="1">
        <v>122</v>
      </c>
      <c r="B132" s="1" t="s">
        <v>299</v>
      </c>
      <c r="C132" s="1">
        <v>103730</v>
      </c>
      <c r="D132" s="7">
        <v>42536</v>
      </c>
      <c r="E132" s="1" t="s">
        <v>300</v>
      </c>
      <c r="F132" s="1" t="s">
        <v>302</v>
      </c>
      <c r="G132" s="1" t="s">
        <v>148</v>
      </c>
      <c r="H132" s="1" t="s">
        <v>302</v>
      </c>
      <c r="I132" s="1" t="s">
        <v>95</v>
      </c>
      <c r="J132" s="1" t="s">
        <v>302</v>
      </c>
      <c r="K132" s="1" t="s">
        <v>35</v>
      </c>
      <c r="L132" s="1" t="s">
        <v>302</v>
      </c>
      <c r="M132" s="1" t="s">
        <v>43</v>
      </c>
      <c r="N132" s="5">
        <v>226.56</v>
      </c>
      <c r="O132" s="27">
        <v>6</v>
      </c>
      <c r="P132" s="5">
        <v>63.436800000000005</v>
      </c>
      <c r="Q132" s="5">
        <v>37.76</v>
      </c>
    </row>
    <row r="133" spans="1:17">
      <c r="A133" s="1">
        <v>123</v>
      </c>
      <c r="B133" s="1" t="s">
        <v>299</v>
      </c>
      <c r="C133" s="1">
        <v>103730</v>
      </c>
      <c r="D133" s="7">
        <v>42536</v>
      </c>
      <c r="E133" s="1" t="s">
        <v>300</v>
      </c>
      <c r="F133" s="1" t="s">
        <v>303</v>
      </c>
      <c r="G133" s="1" t="s">
        <v>148</v>
      </c>
      <c r="H133" s="1" t="s">
        <v>303</v>
      </c>
      <c r="I133" s="1" t="s">
        <v>95</v>
      </c>
      <c r="J133" s="1" t="s">
        <v>303</v>
      </c>
      <c r="K133" s="1" t="s">
        <v>35</v>
      </c>
      <c r="L133" s="1" t="s">
        <v>303</v>
      </c>
      <c r="M133" s="1" t="s">
        <v>110</v>
      </c>
      <c r="N133" s="5">
        <v>115.02</v>
      </c>
      <c r="O133" s="27">
        <v>9</v>
      </c>
      <c r="P133" s="5">
        <v>51.758999999999993</v>
      </c>
      <c r="Q133" s="5">
        <v>12.78</v>
      </c>
    </row>
    <row r="134" spans="1:17">
      <c r="A134" s="1">
        <v>124</v>
      </c>
      <c r="B134" s="1" t="s">
        <v>299</v>
      </c>
      <c r="C134" s="1">
        <v>103730</v>
      </c>
      <c r="D134" s="7">
        <v>42536</v>
      </c>
      <c r="E134" s="1" t="s">
        <v>300</v>
      </c>
      <c r="F134" s="1" t="s">
        <v>304</v>
      </c>
      <c r="G134" s="1" t="s">
        <v>148</v>
      </c>
      <c r="H134" s="1" t="s">
        <v>304</v>
      </c>
      <c r="I134" s="1" t="s">
        <v>95</v>
      </c>
      <c r="J134" s="1" t="s">
        <v>304</v>
      </c>
      <c r="K134" s="1" t="s">
        <v>51</v>
      </c>
      <c r="L134" s="1" t="s">
        <v>304</v>
      </c>
      <c r="M134" s="1" t="s">
        <v>52</v>
      </c>
      <c r="N134" s="5">
        <v>68.040000000000006</v>
      </c>
      <c r="O134" s="27">
        <v>7</v>
      </c>
      <c r="P134" s="5">
        <v>19.731599999999997</v>
      </c>
      <c r="Q134" s="5">
        <v>9.7200000000000006</v>
      </c>
    </row>
    <row r="135" spans="1:17">
      <c r="A135" s="1">
        <v>125</v>
      </c>
      <c r="B135" s="1" t="s">
        <v>305</v>
      </c>
      <c r="C135" s="1">
        <v>152030</v>
      </c>
      <c r="D135" s="7">
        <v>42001</v>
      </c>
      <c r="E135" s="1" t="s">
        <v>306</v>
      </c>
      <c r="F135" s="1" t="s">
        <v>307</v>
      </c>
      <c r="G135" s="1" t="s">
        <v>70</v>
      </c>
      <c r="H135" s="1" t="s">
        <v>307</v>
      </c>
      <c r="I135" s="1" t="s">
        <v>71</v>
      </c>
      <c r="J135" s="1" t="s">
        <v>307</v>
      </c>
      <c r="K135" s="1" t="s">
        <v>26</v>
      </c>
      <c r="L135" s="1" t="s">
        <v>307</v>
      </c>
      <c r="M135" s="1" t="s">
        <v>29</v>
      </c>
      <c r="N135" s="5">
        <v>600.55799999999999</v>
      </c>
      <c r="O135" s="27">
        <v>3</v>
      </c>
      <c r="P135" s="5">
        <v>-8.5794000000000779</v>
      </c>
      <c r="Q135" s="5">
        <v>200.18600000000001</v>
      </c>
    </row>
    <row r="136" spans="1:17">
      <c r="A136" s="1">
        <v>126</v>
      </c>
      <c r="B136" s="1" t="s">
        <v>308</v>
      </c>
      <c r="C136" s="1">
        <v>134614</v>
      </c>
      <c r="D136" s="7">
        <v>41907</v>
      </c>
      <c r="E136" s="1" t="s">
        <v>309</v>
      </c>
      <c r="F136" s="1" t="s">
        <v>310</v>
      </c>
      <c r="G136" s="1" t="s">
        <v>129</v>
      </c>
      <c r="H136" s="1" t="s">
        <v>310</v>
      </c>
      <c r="I136" s="1" t="s">
        <v>71</v>
      </c>
      <c r="J136" s="1" t="s">
        <v>310</v>
      </c>
      <c r="K136" s="1" t="s">
        <v>26</v>
      </c>
      <c r="L136" s="1" t="s">
        <v>310</v>
      </c>
      <c r="M136" s="1" t="s">
        <v>41</v>
      </c>
      <c r="N136" s="5">
        <v>617.70000000000005</v>
      </c>
      <c r="O136" s="27">
        <v>6</v>
      </c>
      <c r="P136" s="5">
        <v>-407.68200000000013</v>
      </c>
      <c r="Q136" s="5">
        <v>102.95</v>
      </c>
    </row>
    <row r="137" spans="1:17">
      <c r="A137" s="1">
        <v>127</v>
      </c>
      <c r="B137" s="1" t="s">
        <v>311</v>
      </c>
      <c r="C137" s="1">
        <v>107272</v>
      </c>
      <c r="D137" s="7">
        <v>43051</v>
      </c>
      <c r="E137" s="1" t="s">
        <v>312</v>
      </c>
      <c r="F137" s="1" t="s">
        <v>313</v>
      </c>
      <c r="G137" s="1" t="s">
        <v>184</v>
      </c>
      <c r="H137" s="1" t="s">
        <v>313</v>
      </c>
      <c r="I137" s="1" t="s">
        <v>33</v>
      </c>
      <c r="J137" s="1" t="s">
        <v>313</v>
      </c>
      <c r="K137" s="1" t="s">
        <v>35</v>
      </c>
      <c r="L137" s="1" t="s">
        <v>313</v>
      </c>
      <c r="M137" s="1" t="s">
        <v>54</v>
      </c>
      <c r="N137" s="5">
        <v>2.3880000000000003</v>
      </c>
      <c r="O137" s="27">
        <v>2</v>
      </c>
      <c r="P137" s="5">
        <v>-1.8308</v>
      </c>
      <c r="Q137" s="5">
        <v>1.194</v>
      </c>
    </row>
    <row r="138" spans="1:17">
      <c r="A138" s="1">
        <v>128</v>
      </c>
      <c r="B138" s="1" t="s">
        <v>311</v>
      </c>
      <c r="C138" s="1">
        <v>107272</v>
      </c>
      <c r="D138" s="7">
        <v>43051</v>
      </c>
      <c r="E138" s="1" t="s">
        <v>312</v>
      </c>
      <c r="F138" s="1" t="s">
        <v>314</v>
      </c>
      <c r="G138" s="1" t="s">
        <v>184</v>
      </c>
      <c r="H138" s="1" t="s">
        <v>314</v>
      </c>
      <c r="I138" s="1" t="s">
        <v>33</v>
      </c>
      <c r="J138" s="1" t="s">
        <v>314</v>
      </c>
      <c r="K138" s="1" t="s">
        <v>35</v>
      </c>
      <c r="L138" s="1" t="s">
        <v>314</v>
      </c>
      <c r="M138" s="1" t="s">
        <v>43</v>
      </c>
      <c r="N138" s="5">
        <v>243.99200000000002</v>
      </c>
      <c r="O138" s="27">
        <v>7</v>
      </c>
      <c r="P138" s="5">
        <v>30.498999999999981</v>
      </c>
      <c r="Q138" s="5">
        <v>34.856000000000002</v>
      </c>
    </row>
    <row r="139" spans="1:17">
      <c r="A139" s="1">
        <v>129</v>
      </c>
      <c r="B139" s="1" t="s">
        <v>315</v>
      </c>
      <c r="C139" s="1">
        <v>125969</v>
      </c>
      <c r="D139" s="7">
        <v>42684</v>
      </c>
      <c r="E139" s="1" t="s">
        <v>316</v>
      </c>
      <c r="F139" s="1" t="s">
        <v>181</v>
      </c>
      <c r="G139" s="1" t="s">
        <v>32</v>
      </c>
      <c r="H139" s="1" t="s">
        <v>181</v>
      </c>
      <c r="I139" s="1" t="s">
        <v>33</v>
      </c>
      <c r="J139" s="1" t="s">
        <v>181</v>
      </c>
      <c r="K139" s="1" t="s">
        <v>26</v>
      </c>
      <c r="L139" s="1" t="s">
        <v>181</v>
      </c>
      <c r="M139" s="1" t="s">
        <v>29</v>
      </c>
      <c r="N139" s="5">
        <v>81.424000000000007</v>
      </c>
      <c r="O139" s="27">
        <v>2</v>
      </c>
      <c r="P139" s="5">
        <v>-9.1601999999999961</v>
      </c>
      <c r="Q139" s="5">
        <v>40.712000000000003</v>
      </c>
    </row>
    <row r="140" spans="1:17">
      <c r="A140" s="1">
        <v>130</v>
      </c>
      <c r="B140" s="1" t="s">
        <v>315</v>
      </c>
      <c r="C140" s="1">
        <v>125969</v>
      </c>
      <c r="D140" s="7">
        <v>42684</v>
      </c>
      <c r="E140" s="1" t="s">
        <v>316</v>
      </c>
      <c r="F140" s="1" t="s">
        <v>317</v>
      </c>
      <c r="G140" s="1" t="s">
        <v>32</v>
      </c>
      <c r="H140" s="1" t="s">
        <v>317</v>
      </c>
      <c r="I140" s="1" t="s">
        <v>33</v>
      </c>
      <c r="J140" s="1" t="s">
        <v>317</v>
      </c>
      <c r="K140" s="1" t="s">
        <v>26</v>
      </c>
      <c r="L140" s="1" t="s">
        <v>317</v>
      </c>
      <c r="M140" s="1" t="s">
        <v>47</v>
      </c>
      <c r="N140" s="5">
        <v>238.56</v>
      </c>
      <c r="O140" s="27">
        <v>3</v>
      </c>
      <c r="P140" s="5">
        <v>26.241599999999977</v>
      </c>
      <c r="Q140" s="5">
        <v>79.52</v>
      </c>
    </row>
    <row r="141" spans="1:17">
      <c r="A141" s="1">
        <v>131</v>
      </c>
      <c r="B141" s="1" t="s">
        <v>318</v>
      </c>
      <c r="C141" s="1">
        <v>164147</v>
      </c>
      <c r="D141" s="7">
        <v>42771</v>
      </c>
      <c r="E141" s="1" t="s">
        <v>319</v>
      </c>
      <c r="F141" s="1" t="s">
        <v>320</v>
      </c>
      <c r="G141" s="1" t="s">
        <v>288</v>
      </c>
      <c r="H141" s="1" t="s">
        <v>320</v>
      </c>
      <c r="I141" s="1" t="s">
        <v>95</v>
      </c>
      <c r="J141" s="1" t="s">
        <v>320</v>
      </c>
      <c r="K141" s="1" t="s">
        <v>51</v>
      </c>
      <c r="L141" s="1" t="s">
        <v>320</v>
      </c>
      <c r="M141" s="1" t="s">
        <v>52</v>
      </c>
      <c r="N141" s="5">
        <v>59.969999999999992</v>
      </c>
      <c r="O141" s="27">
        <v>5</v>
      </c>
      <c r="P141" s="5">
        <v>-11.993999999999993</v>
      </c>
      <c r="Q141" s="5">
        <v>11.994</v>
      </c>
    </row>
    <row r="142" spans="1:17">
      <c r="A142" s="1">
        <v>132</v>
      </c>
      <c r="B142" s="1" t="s">
        <v>318</v>
      </c>
      <c r="C142" s="1">
        <v>164147</v>
      </c>
      <c r="D142" s="7">
        <v>42771</v>
      </c>
      <c r="E142" s="1" t="s">
        <v>319</v>
      </c>
      <c r="F142" s="1" t="s">
        <v>321</v>
      </c>
      <c r="G142" s="1" t="s">
        <v>288</v>
      </c>
      <c r="H142" s="1" t="s">
        <v>321</v>
      </c>
      <c r="I142" s="1" t="s">
        <v>95</v>
      </c>
      <c r="J142" s="1" t="s">
        <v>321</v>
      </c>
      <c r="K142" s="1" t="s">
        <v>35</v>
      </c>
      <c r="L142" s="1" t="s">
        <v>321</v>
      </c>
      <c r="M142" s="1" t="s">
        <v>63</v>
      </c>
      <c r="N142" s="5">
        <v>78.304000000000002</v>
      </c>
      <c r="O142" s="27">
        <v>2</v>
      </c>
      <c r="P142" s="5">
        <v>29.363999999999997</v>
      </c>
      <c r="Q142" s="5">
        <v>39.152000000000001</v>
      </c>
    </row>
    <row r="143" spans="1:17">
      <c r="A143" s="1">
        <v>133</v>
      </c>
      <c r="B143" s="1" t="s">
        <v>318</v>
      </c>
      <c r="C143" s="1">
        <v>164147</v>
      </c>
      <c r="D143" s="7">
        <v>42771</v>
      </c>
      <c r="E143" s="1" t="s">
        <v>319</v>
      </c>
      <c r="F143" s="1" t="s">
        <v>322</v>
      </c>
      <c r="G143" s="1" t="s">
        <v>288</v>
      </c>
      <c r="H143" s="1" t="s">
        <v>322</v>
      </c>
      <c r="I143" s="1" t="s">
        <v>95</v>
      </c>
      <c r="J143" s="1" t="s">
        <v>322</v>
      </c>
      <c r="K143" s="1" t="s">
        <v>35</v>
      </c>
      <c r="L143" s="1" t="s">
        <v>322</v>
      </c>
      <c r="M143" s="1" t="s">
        <v>163</v>
      </c>
      <c r="N143" s="5">
        <v>21.456</v>
      </c>
      <c r="O143" s="27">
        <v>9</v>
      </c>
      <c r="P143" s="5">
        <v>6.9731999999999976</v>
      </c>
      <c r="Q143" s="5">
        <v>2.3839999999999999</v>
      </c>
    </row>
    <row r="144" spans="1:17">
      <c r="A144" s="1">
        <v>134</v>
      </c>
      <c r="B144" s="1" t="s">
        <v>323</v>
      </c>
      <c r="C144" s="1">
        <v>145583</v>
      </c>
      <c r="D144" s="7">
        <v>42662</v>
      </c>
      <c r="E144" s="1" t="s">
        <v>324</v>
      </c>
      <c r="F144" s="1" t="s">
        <v>325</v>
      </c>
      <c r="G144" s="1" t="s">
        <v>32</v>
      </c>
      <c r="H144" s="1" t="s">
        <v>325</v>
      </c>
      <c r="I144" s="1" t="s">
        <v>33</v>
      </c>
      <c r="J144" s="1" t="s">
        <v>325</v>
      </c>
      <c r="K144" s="1" t="s">
        <v>35</v>
      </c>
      <c r="L144" s="1" t="s">
        <v>325</v>
      </c>
      <c r="M144" s="1" t="s">
        <v>63</v>
      </c>
      <c r="N144" s="5">
        <v>20.04</v>
      </c>
      <c r="O144" s="27">
        <v>3</v>
      </c>
      <c r="P144" s="5">
        <v>9.6191999999999993</v>
      </c>
      <c r="Q144" s="5">
        <v>6.68</v>
      </c>
    </row>
    <row r="145" spans="1:17">
      <c r="A145" s="1">
        <v>135</v>
      </c>
      <c r="B145" s="1" t="s">
        <v>323</v>
      </c>
      <c r="C145" s="1">
        <v>145583</v>
      </c>
      <c r="D145" s="7">
        <v>42662</v>
      </c>
      <c r="E145" s="1" t="s">
        <v>324</v>
      </c>
      <c r="F145" s="1" t="s">
        <v>326</v>
      </c>
      <c r="G145" s="1" t="s">
        <v>32</v>
      </c>
      <c r="H145" s="1" t="s">
        <v>326</v>
      </c>
      <c r="I145" s="1" t="s">
        <v>33</v>
      </c>
      <c r="J145" s="1" t="s">
        <v>326</v>
      </c>
      <c r="K145" s="1" t="s">
        <v>35</v>
      </c>
      <c r="L145" s="1" t="s">
        <v>326</v>
      </c>
      <c r="M145" s="1" t="s">
        <v>63</v>
      </c>
      <c r="N145" s="5">
        <v>35.44</v>
      </c>
      <c r="O145" s="27">
        <v>1</v>
      </c>
      <c r="P145" s="5">
        <v>16.656799999999997</v>
      </c>
      <c r="Q145" s="5">
        <v>35.44</v>
      </c>
    </row>
    <row r="146" spans="1:17">
      <c r="A146" s="1">
        <v>136</v>
      </c>
      <c r="B146" s="1" t="s">
        <v>323</v>
      </c>
      <c r="C146" s="1">
        <v>145583</v>
      </c>
      <c r="D146" s="7">
        <v>42662</v>
      </c>
      <c r="E146" s="1" t="s">
        <v>324</v>
      </c>
      <c r="F146" s="1" t="s">
        <v>327</v>
      </c>
      <c r="G146" s="1" t="s">
        <v>32</v>
      </c>
      <c r="H146" s="1" t="s">
        <v>327</v>
      </c>
      <c r="I146" s="1" t="s">
        <v>33</v>
      </c>
      <c r="J146" s="1" t="s">
        <v>327</v>
      </c>
      <c r="K146" s="1" t="s">
        <v>35</v>
      </c>
      <c r="L146" s="1" t="s">
        <v>327</v>
      </c>
      <c r="M146" s="1" t="s">
        <v>49</v>
      </c>
      <c r="N146" s="5">
        <v>11.52</v>
      </c>
      <c r="O146" s="27">
        <v>4</v>
      </c>
      <c r="P146" s="5">
        <v>3.4559999999999995</v>
      </c>
      <c r="Q146" s="5">
        <v>2.88</v>
      </c>
    </row>
    <row r="147" spans="1:17">
      <c r="A147" s="1">
        <v>137</v>
      </c>
      <c r="B147" s="1" t="s">
        <v>323</v>
      </c>
      <c r="C147" s="1">
        <v>145583</v>
      </c>
      <c r="D147" s="7">
        <v>42662</v>
      </c>
      <c r="E147" s="1" t="s">
        <v>324</v>
      </c>
      <c r="F147" s="1" t="s">
        <v>328</v>
      </c>
      <c r="G147" s="1" t="s">
        <v>32</v>
      </c>
      <c r="H147" s="1" t="s">
        <v>328</v>
      </c>
      <c r="I147" s="1" t="s">
        <v>33</v>
      </c>
      <c r="J147" s="1" t="s">
        <v>328</v>
      </c>
      <c r="K147" s="1" t="s">
        <v>35</v>
      </c>
      <c r="L147" s="1" t="s">
        <v>328</v>
      </c>
      <c r="M147" s="1" t="s">
        <v>163</v>
      </c>
      <c r="N147" s="5">
        <v>4.0199999999999996</v>
      </c>
      <c r="O147" s="27">
        <v>2</v>
      </c>
      <c r="P147" s="5">
        <v>1.9697999999999998</v>
      </c>
      <c r="Q147" s="5">
        <v>2.0099999999999998</v>
      </c>
    </row>
    <row r="148" spans="1:17">
      <c r="A148" s="1">
        <v>138</v>
      </c>
      <c r="B148" s="1" t="s">
        <v>323</v>
      </c>
      <c r="C148" s="1">
        <v>145583</v>
      </c>
      <c r="D148" s="7">
        <v>42662</v>
      </c>
      <c r="E148" s="1" t="s">
        <v>324</v>
      </c>
      <c r="F148" s="1" t="s">
        <v>329</v>
      </c>
      <c r="G148" s="1" t="s">
        <v>32</v>
      </c>
      <c r="H148" s="1" t="s">
        <v>329</v>
      </c>
      <c r="I148" s="1" t="s">
        <v>33</v>
      </c>
      <c r="J148" s="1" t="s">
        <v>329</v>
      </c>
      <c r="K148" s="1" t="s">
        <v>35</v>
      </c>
      <c r="L148" s="1" t="s">
        <v>329</v>
      </c>
      <c r="M148" s="1" t="s">
        <v>54</v>
      </c>
      <c r="N148" s="5">
        <v>76.176000000000002</v>
      </c>
      <c r="O148" s="27">
        <v>3</v>
      </c>
      <c r="P148" s="5">
        <v>26.661599999999996</v>
      </c>
      <c r="Q148" s="5">
        <v>25.391999999999999</v>
      </c>
    </row>
    <row r="149" spans="1:17">
      <c r="A149" s="1">
        <v>139</v>
      </c>
      <c r="B149" s="1" t="s">
        <v>323</v>
      </c>
      <c r="C149" s="1">
        <v>145583</v>
      </c>
      <c r="D149" s="7">
        <v>42662</v>
      </c>
      <c r="E149" s="1" t="s">
        <v>324</v>
      </c>
      <c r="F149" s="1" t="s">
        <v>330</v>
      </c>
      <c r="G149" s="1" t="s">
        <v>32</v>
      </c>
      <c r="H149" s="1" t="s">
        <v>330</v>
      </c>
      <c r="I149" s="1" t="s">
        <v>33</v>
      </c>
      <c r="J149" s="1" t="s">
        <v>330</v>
      </c>
      <c r="K149" s="1" t="s">
        <v>35</v>
      </c>
      <c r="L149" s="1" t="s">
        <v>330</v>
      </c>
      <c r="M149" s="1" t="s">
        <v>331</v>
      </c>
      <c r="N149" s="5">
        <v>65.88</v>
      </c>
      <c r="O149" s="27">
        <v>6</v>
      </c>
      <c r="P149" s="5">
        <v>18.446400000000004</v>
      </c>
      <c r="Q149" s="5">
        <v>10.98</v>
      </c>
    </row>
    <row r="150" spans="1:17">
      <c r="A150" s="1">
        <v>140</v>
      </c>
      <c r="B150" s="1" t="s">
        <v>323</v>
      </c>
      <c r="C150" s="1">
        <v>145583</v>
      </c>
      <c r="D150" s="7">
        <v>42662</v>
      </c>
      <c r="E150" s="1" t="s">
        <v>324</v>
      </c>
      <c r="F150" s="1" t="s">
        <v>157</v>
      </c>
      <c r="G150" s="1" t="s">
        <v>32</v>
      </c>
      <c r="H150" s="1" t="s">
        <v>157</v>
      </c>
      <c r="I150" s="1" t="s">
        <v>33</v>
      </c>
      <c r="J150" s="1" t="s">
        <v>157</v>
      </c>
      <c r="K150" s="1" t="s">
        <v>26</v>
      </c>
      <c r="L150" s="1" t="s">
        <v>157</v>
      </c>
      <c r="M150" s="1" t="s">
        <v>47</v>
      </c>
      <c r="N150" s="5">
        <v>43.120000000000005</v>
      </c>
      <c r="O150" s="27">
        <v>14</v>
      </c>
      <c r="P150" s="5">
        <v>20.697599999999998</v>
      </c>
      <c r="Q150" s="5">
        <v>3.08</v>
      </c>
    </row>
    <row r="151" spans="1:17">
      <c r="A151" s="1">
        <v>141</v>
      </c>
      <c r="B151" s="1" t="s">
        <v>332</v>
      </c>
      <c r="C151" s="1">
        <v>110366</v>
      </c>
      <c r="D151" s="7">
        <v>42620</v>
      </c>
      <c r="E151" s="1" t="s">
        <v>333</v>
      </c>
      <c r="F151" s="1" t="s">
        <v>108</v>
      </c>
      <c r="G151" s="1" t="s">
        <v>94</v>
      </c>
      <c r="H151" s="1" t="s">
        <v>108</v>
      </c>
      <c r="I151" s="1" t="s">
        <v>95</v>
      </c>
      <c r="J151" s="1" t="s">
        <v>108</v>
      </c>
      <c r="K151" s="1" t="s">
        <v>26</v>
      </c>
      <c r="L151" s="1" t="s">
        <v>108</v>
      </c>
      <c r="M151" s="1" t="s">
        <v>47</v>
      </c>
      <c r="N151" s="5">
        <v>82.800000000000011</v>
      </c>
      <c r="O151" s="27">
        <v>2</v>
      </c>
      <c r="P151" s="5">
        <v>10.349999999999994</v>
      </c>
      <c r="Q151" s="5">
        <v>41.4</v>
      </c>
    </row>
    <row r="152" spans="1:17">
      <c r="A152" s="1">
        <v>142</v>
      </c>
      <c r="B152" s="1" t="s">
        <v>334</v>
      </c>
      <c r="C152" s="1">
        <v>106180</v>
      </c>
      <c r="D152" s="7">
        <v>43001</v>
      </c>
      <c r="E152" s="1" t="s">
        <v>335</v>
      </c>
      <c r="F152" s="1" t="s">
        <v>336</v>
      </c>
      <c r="G152" s="1" t="s">
        <v>32</v>
      </c>
      <c r="H152" s="1" t="s">
        <v>336</v>
      </c>
      <c r="I152" s="1" t="s">
        <v>33</v>
      </c>
      <c r="J152" s="1" t="s">
        <v>336</v>
      </c>
      <c r="K152" s="1" t="s">
        <v>35</v>
      </c>
      <c r="L152" s="1" t="s">
        <v>336</v>
      </c>
      <c r="M152" s="1" t="s">
        <v>49</v>
      </c>
      <c r="N152" s="5">
        <v>8.82</v>
      </c>
      <c r="O152" s="27">
        <v>3</v>
      </c>
      <c r="P152" s="5">
        <v>2.3814000000000002</v>
      </c>
      <c r="Q152" s="5">
        <v>2.94</v>
      </c>
    </row>
    <row r="153" spans="1:17">
      <c r="A153" s="1">
        <v>143</v>
      </c>
      <c r="B153" s="1" t="s">
        <v>334</v>
      </c>
      <c r="C153" s="1">
        <v>106180</v>
      </c>
      <c r="D153" s="7">
        <v>43001</v>
      </c>
      <c r="E153" s="1" t="s">
        <v>335</v>
      </c>
      <c r="F153" s="1" t="s">
        <v>337</v>
      </c>
      <c r="G153" s="1" t="s">
        <v>32</v>
      </c>
      <c r="H153" s="1" t="s">
        <v>337</v>
      </c>
      <c r="I153" s="1" t="s">
        <v>33</v>
      </c>
      <c r="J153" s="1" t="s">
        <v>337</v>
      </c>
      <c r="K153" s="1" t="s">
        <v>35</v>
      </c>
      <c r="L153" s="1" t="s">
        <v>337</v>
      </c>
      <c r="M153" s="1" t="s">
        <v>110</v>
      </c>
      <c r="N153" s="5">
        <v>10.86</v>
      </c>
      <c r="O153" s="27">
        <v>3</v>
      </c>
      <c r="P153" s="5">
        <v>5.1042000000000005</v>
      </c>
      <c r="Q153" s="5">
        <v>3.62</v>
      </c>
    </row>
    <row r="154" spans="1:17">
      <c r="A154" s="1">
        <v>144</v>
      </c>
      <c r="B154" s="1" t="s">
        <v>334</v>
      </c>
      <c r="C154" s="1">
        <v>106180</v>
      </c>
      <c r="D154" s="7">
        <v>43001</v>
      </c>
      <c r="E154" s="1" t="s">
        <v>335</v>
      </c>
      <c r="F154" s="1" t="s">
        <v>338</v>
      </c>
      <c r="G154" s="1" t="s">
        <v>32</v>
      </c>
      <c r="H154" s="1" t="s">
        <v>338</v>
      </c>
      <c r="I154" s="1" t="s">
        <v>33</v>
      </c>
      <c r="J154" s="1" t="s">
        <v>338</v>
      </c>
      <c r="K154" s="1" t="s">
        <v>35</v>
      </c>
      <c r="L154" s="1" t="s">
        <v>338</v>
      </c>
      <c r="M154" s="1" t="s">
        <v>63</v>
      </c>
      <c r="N154" s="5">
        <v>143.69999999999999</v>
      </c>
      <c r="O154" s="27">
        <v>3</v>
      </c>
      <c r="P154" s="5">
        <v>68.975999999999999</v>
      </c>
      <c r="Q154" s="5">
        <v>47.9</v>
      </c>
    </row>
    <row r="155" spans="1:17">
      <c r="A155" s="1">
        <v>145</v>
      </c>
      <c r="B155" s="1" t="s">
        <v>339</v>
      </c>
      <c r="C155" s="1">
        <v>155376</v>
      </c>
      <c r="D155" s="7">
        <v>43096</v>
      </c>
      <c r="E155" s="1" t="s">
        <v>340</v>
      </c>
      <c r="F155" s="1" t="s">
        <v>342</v>
      </c>
      <c r="G155" s="1" t="s">
        <v>341</v>
      </c>
      <c r="H155" s="1" t="s">
        <v>342</v>
      </c>
      <c r="I155" s="1" t="s">
        <v>71</v>
      </c>
      <c r="J155" s="1" t="s">
        <v>342</v>
      </c>
      <c r="K155" s="1" t="s">
        <v>35</v>
      </c>
      <c r="L155" s="1" t="s">
        <v>342</v>
      </c>
      <c r="M155" s="1" t="s">
        <v>56</v>
      </c>
      <c r="N155" s="5">
        <v>839.43000000000006</v>
      </c>
      <c r="O155" s="27">
        <v>3</v>
      </c>
      <c r="P155" s="5">
        <v>218.25179999999997</v>
      </c>
      <c r="Q155" s="5">
        <v>279.81</v>
      </c>
    </row>
    <row r="156" spans="1:17">
      <c r="A156" s="1">
        <v>146</v>
      </c>
      <c r="B156" s="1" t="s">
        <v>343</v>
      </c>
      <c r="C156" s="1">
        <v>110744</v>
      </c>
      <c r="D156" s="7">
        <v>42259</v>
      </c>
      <c r="E156" s="1" t="s">
        <v>344</v>
      </c>
      <c r="F156" s="1" t="s">
        <v>223</v>
      </c>
      <c r="G156" s="1" t="s">
        <v>32</v>
      </c>
      <c r="H156" s="1" t="s">
        <v>223</v>
      </c>
      <c r="I156" s="1" t="s">
        <v>33</v>
      </c>
      <c r="J156" s="1" t="s">
        <v>223</v>
      </c>
      <c r="K156" s="1" t="s">
        <v>35</v>
      </c>
      <c r="L156" s="1" t="s">
        <v>223</v>
      </c>
      <c r="M156" s="1" t="s">
        <v>43</v>
      </c>
      <c r="N156" s="5">
        <v>671.93</v>
      </c>
      <c r="O156" s="27">
        <v>7</v>
      </c>
      <c r="P156" s="5">
        <v>20.157899999999998</v>
      </c>
      <c r="Q156" s="5">
        <v>95.99</v>
      </c>
    </row>
    <row r="157" spans="1:17">
      <c r="A157" s="1">
        <v>147</v>
      </c>
      <c r="B157" s="1" t="s">
        <v>345</v>
      </c>
      <c r="C157" s="1">
        <v>110072</v>
      </c>
      <c r="D157" s="7">
        <v>41940</v>
      </c>
      <c r="E157" s="1" t="s">
        <v>346</v>
      </c>
      <c r="F157" s="1" t="s">
        <v>347</v>
      </c>
      <c r="G157" s="1" t="s">
        <v>288</v>
      </c>
      <c r="H157" s="1" t="s">
        <v>347</v>
      </c>
      <c r="I157" s="1" t="s">
        <v>95</v>
      </c>
      <c r="J157" s="1" t="s">
        <v>347</v>
      </c>
      <c r="K157" s="1" t="s">
        <v>26</v>
      </c>
      <c r="L157" s="1" t="s">
        <v>347</v>
      </c>
      <c r="M157" s="1" t="s">
        <v>47</v>
      </c>
      <c r="N157" s="5">
        <v>93.888000000000005</v>
      </c>
      <c r="O157" s="27">
        <v>4</v>
      </c>
      <c r="P157" s="5">
        <v>12.90959999999999</v>
      </c>
      <c r="Q157" s="5">
        <v>23.472000000000001</v>
      </c>
    </row>
    <row r="158" spans="1:17">
      <c r="A158" s="1">
        <v>148</v>
      </c>
      <c r="B158" s="1" t="s">
        <v>348</v>
      </c>
      <c r="C158" s="1">
        <v>114489</v>
      </c>
      <c r="D158" s="7">
        <v>42713</v>
      </c>
      <c r="E158" s="1" t="s">
        <v>349</v>
      </c>
      <c r="F158" s="1" t="s">
        <v>350</v>
      </c>
      <c r="G158" s="1" t="s">
        <v>76</v>
      </c>
      <c r="H158" s="1" t="s">
        <v>350</v>
      </c>
      <c r="I158" s="1" t="s">
        <v>71</v>
      </c>
      <c r="J158" s="1" t="s">
        <v>350</v>
      </c>
      <c r="K158" s="1" t="s">
        <v>51</v>
      </c>
      <c r="L158" s="1" t="s">
        <v>350</v>
      </c>
      <c r="M158" s="1" t="s">
        <v>52</v>
      </c>
      <c r="N158" s="5">
        <v>384.45000000000005</v>
      </c>
      <c r="O158" s="27">
        <v>11</v>
      </c>
      <c r="P158" s="5">
        <v>103.80150000000003</v>
      </c>
      <c r="Q158" s="5">
        <v>34.950000000000003</v>
      </c>
    </row>
    <row r="159" spans="1:17">
      <c r="A159" s="1">
        <v>149</v>
      </c>
      <c r="B159" s="1" t="s">
        <v>348</v>
      </c>
      <c r="C159" s="1">
        <v>114489</v>
      </c>
      <c r="D159" s="7">
        <v>42713</v>
      </c>
      <c r="E159" s="1" t="s">
        <v>349</v>
      </c>
      <c r="F159" s="1" t="s">
        <v>351</v>
      </c>
      <c r="G159" s="1" t="s">
        <v>76</v>
      </c>
      <c r="H159" s="1" t="s">
        <v>351</v>
      </c>
      <c r="I159" s="1" t="s">
        <v>71</v>
      </c>
      <c r="J159" s="1" t="s">
        <v>351</v>
      </c>
      <c r="K159" s="1" t="s">
        <v>51</v>
      </c>
      <c r="L159" s="1" t="s">
        <v>351</v>
      </c>
      <c r="M159" s="1" t="s">
        <v>52</v>
      </c>
      <c r="N159" s="5">
        <v>149.97</v>
      </c>
      <c r="O159" s="27">
        <v>3</v>
      </c>
      <c r="P159" s="5">
        <v>5.9987999999999815</v>
      </c>
      <c r="Q159" s="5">
        <v>49.99</v>
      </c>
    </row>
    <row r="160" spans="1:17">
      <c r="A160" s="1">
        <v>150</v>
      </c>
      <c r="B160" s="1" t="s">
        <v>348</v>
      </c>
      <c r="C160" s="1">
        <v>114489</v>
      </c>
      <c r="D160" s="7">
        <v>42713</v>
      </c>
      <c r="E160" s="1" t="s">
        <v>349</v>
      </c>
      <c r="F160" s="1" t="s">
        <v>28</v>
      </c>
      <c r="G160" s="1" t="s">
        <v>76</v>
      </c>
      <c r="H160" s="1" t="s">
        <v>28</v>
      </c>
      <c r="I160" s="1" t="s">
        <v>71</v>
      </c>
      <c r="J160" s="1" t="s">
        <v>28</v>
      </c>
      <c r="K160" s="1" t="s">
        <v>26</v>
      </c>
      <c r="L160" s="1" t="s">
        <v>28</v>
      </c>
      <c r="M160" s="1" t="s">
        <v>29</v>
      </c>
      <c r="N160" s="5">
        <v>1951.84</v>
      </c>
      <c r="O160" s="27">
        <v>8</v>
      </c>
      <c r="P160" s="5">
        <v>585.55199999999991</v>
      </c>
      <c r="Q160" s="5">
        <v>243.98</v>
      </c>
    </row>
    <row r="161" spans="1:17">
      <c r="A161" s="1">
        <v>151</v>
      </c>
      <c r="B161" s="1" t="s">
        <v>348</v>
      </c>
      <c r="C161" s="1">
        <v>114489</v>
      </c>
      <c r="D161" s="7">
        <v>42713</v>
      </c>
      <c r="E161" s="1" t="s">
        <v>349</v>
      </c>
      <c r="F161" s="1" t="s">
        <v>352</v>
      </c>
      <c r="G161" s="1" t="s">
        <v>76</v>
      </c>
      <c r="H161" s="1" t="s">
        <v>352</v>
      </c>
      <c r="I161" s="1" t="s">
        <v>71</v>
      </c>
      <c r="J161" s="1" t="s">
        <v>352</v>
      </c>
      <c r="K161" s="1" t="s">
        <v>35</v>
      </c>
      <c r="L161" s="1" t="s">
        <v>352</v>
      </c>
      <c r="M161" s="1" t="s">
        <v>54</v>
      </c>
      <c r="N161" s="5">
        <v>171.55</v>
      </c>
      <c r="O161" s="27">
        <v>5</v>
      </c>
      <c r="P161" s="5">
        <v>80.628500000000003</v>
      </c>
      <c r="Q161" s="5">
        <v>34.31</v>
      </c>
    </row>
    <row r="162" spans="1:17">
      <c r="A162" s="1">
        <v>152</v>
      </c>
      <c r="B162" s="1" t="s">
        <v>353</v>
      </c>
      <c r="C162" s="1">
        <v>158834</v>
      </c>
      <c r="D162" s="7">
        <v>42445</v>
      </c>
      <c r="E162" s="1" t="s">
        <v>354</v>
      </c>
      <c r="F162" s="1" t="s">
        <v>355</v>
      </c>
      <c r="G162" s="1" t="s">
        <v>184</v>
      </c>
      <c r="H162" s="1" t="s">
        <v>355</v>
      </c>
      <c r="I162" s="1" t="s">
        <v>33</v>
      </c>
      <c r="J162" s="1" t="s">
        <v>355</v>
      </c>
      <c r="K162" s="1" t="s">
        <v>35</v>
      </c>
      <c r="L162" s="1" t="s">
        <v>355</v>
      </c>
      <c r="M162" s="1" t="s">
        <v>56</v>
      </c>
      <c r="N162" s="5">
        <v>157.91999999999999</v>
      </c>
      <c r="O162" s="27">
        <v>5</v>
      </c>
      <c r="P162" s="5">
        <v>17.765999999999991</v>
      </c>
      <c r="Q162" s="5">
        <v>31.584</v>
      </c>
    </row>
    <row r="163" spans="1:17">
      <c r="A163" s="1">
        <v>153</v>
      </c>
      <c r="B163" s="1" t="s">
        <v>353</v>
      </c>
      <c r="C163" s="1">
        <v>158834</v>
      </c>
      <c r="D163" s="7">
        <v>42445</v>
      </c>
      <c r="E163" s="1" t="s">
        <v>354</v>
      </c>
      <c r="F163" s="1" t="s">
        <v>356</v>
      </c>
      <c r="G163" s="1" t="s">
        <v>184</v>
      </c>
      <c r="H163" s="1" t="s">
        <v>356</v>
      </c>
      <c r="I163" s="1" t="s">
        <v>33</v>
      </c>
      <c r="J163" s="1" t="s">
        <v>356</v>
      </c>
      <c r="K163" s="1" t="s">
        <v>51</v>
      </c>
      <c r="L163" s="1" t="s">
        <v>356</v>
      </c>
      <c r="M163" s="1" t="s">
        <v>52</v>
      </c>
      <c r="N163" s="5">
        <v>203.184</v>
      </c>
      <c r="O163" s="27">
        <v>2</v>
      </c>
      <c r="P163" s="5">
        <v>15.238799999999991</v>
      </c>
      <c r="Q163" s="5">
        <v>101.592</v>
      </c>
    </row>
    <row r="164" spans="1:17">
      <c r="A164" s="1">
        <v>154</v>
      </c>
      <c r="B164" s="1" t="s">
        <v>357</v>
      </c>
      <c r="C164" s="1">
        <v>124919</v>
      </c>
      <c r="D164" s="7">
        <v>42157</v>
      </c>
      <c r="E164" s="1" t="s">
        <v>358</v>
      </c>
      <c r="F164" s="1" t="s">
        <v>359</v>
      </c>
      <c r="G164" s="1" t="s">
        <v>32</v>
      </c>
      <c r="H164" s="1" t="s">
        <v>359</v>
      </c>
      <c r="I164" s="1" t="s">
        <v>33</v>
      </c>
      <c r="J164" s="1" t="s">
        <v>359</v>
      </c>
      <c r="K164" s="1" t="s">
        <v>35</v>
      </c>
      <c r="L164" s="1" t="s">
        <v>359</v>
      </c>
      <c r="M164" s="1" t="s">
        <v>63</v>
      </c>
      <c r="N164" s="5">
        <v>58.379999999999995</v>
      </c>
      <c r="O164" s="27">
        <v>7</v>
      </c>
      <c r="P164" s="5">
        <v>26.270999999999994</v>
      </c>
      <c r="Q164" s="5">
        <v>8.34</v>
      </c>
    </row>
    <row r="165" spans="1:17">
      <c r="A165" s="1">
        <v>155</v>
      </c>
      <c r="B165" s="1" t="s">
        <v>357</v>
      </c>
      <c r="C165" s="1">
        <v>124919</v>
      </c>
      <c r="D165" s="7">
        <v>42157</v>
      </c>
      <c r="E165" s="1" t="s">
        <v>358</v>
      </c>
      <c r="F165" s="1" t="s">
        <v>360</v>
      </c>
      <c r="G165" s="1" t="s">
        <v>32</v>
      </c>
      <c r="H165" s="1" t="s">
        <v>360</v>
      </c>
      <c r="I165" s="1" t="s">
        <v>33</v>
      </c>
      <c r="J165" s="1" t="s">
        <v>360</v>
      </c>
      <c r="K165" s="1" t="s">
        <v>35</v>
      </c>
      <c r="L165" s="1" t="s">
        <v>360</v>
      </c>
      <c r="M165" s="1" t="s">
        <v>63</v>
      </c>
      <c r="N165" s="5">
        <v>105.52</v>
      </c>
      <c r="O165" s="27">
        <v>4</v>
      </c>
      <c r="P165" s="5">
        <v>48.539199999999994</v>
      </c>
      <c r="Q165" s="5">
        <v>26.38</v>
      </c>
    </row>
    <row r="166" spans="1:17">
      <c r="A166" s="1">
        <v>156</v>
      </c>
      <c r="B166" s="1" t="s">
        <v>357</v>
      </c>
      <c r="C166" s="1">
        <v>124919</v>
      </c>
      <c r="D166" s="7">
        <v>42157</v>
      </c>
      <c r="E166" s="1" t="s">
        <v>358</v>
      </c>
      <c r="F166" s="1" t="s">
        <v>361</v>
      </c>
      <c r="G166" s="1" t="s">
        <v>32</v>
      </c>
      <c r="H166" s="1" t="s">
        <v>361</v>
      </c>
      <c r="I166" s="1" t="s">
        <v>33</v>
      </c>
      <c r="J166" s="1" t="s">
        <v>361</v>
      </c>
      <c r="K166" s="1" t="s">
        <v>35</v>
      </c>
      <c r="L166" s="1" t="s">
        <v>361</v>
      </c>
      <c r="M166" s="1" t="s">
        <v>43</v>
      </c>
      <c r="N166" s="5">
        <v>80.88</v>
      </c>
      <c r="O166" s="27">
        <v>6</v>
      </c>
      <c r="P166" s="5">
        <v>21.028799999999997</v>
      </c>
      <c r="Q166" s="5">
        <v>13.48</v>
      </c>
    </row>
    <row r="167" spans="1:17">
      <c r="A167" s="1">
        <v>157</v>
      </c>
      <c r="B167" s="1" t="s">
        <v>362</v>
      </c>
      <c r="C167" s="1">
        <v>118948</v>
      </c>
      <c r="D167" s="7">
        <v>42158</v>
      </c>
      <c r="E167" s="1" t="s">
        <v>363</v>
      </c>
      <c r="F167" s="1" t="s">
        <v>364</v>
      </c>
      <c r="G167" s="1" t="s">
        <v>66</v>
      </c>
      <c r="H167" s="1" t="s">
        <v>364</v>
      </c>
      <c r="I167" s="1" t="s">
        <v>33</v>
      </c>
      <c r="J167" s="1" t="s">
        <v>364</v>
      </c>
      <c r="K167" s="1" t="s">
        <v>35</v>
      </c>
      <c r="L167" s="1" t="s">
        <v>364</v>
      </c>
      <c r="M167" s="1" t="s">
        <v>49</v>
      </c>
      <c r="N167" s="5">
        <v>6.63</v>
      </c>
      <c r="O167" s="27">
        <v>3</v>
      </c>
      <c r="P167" s="5">
        <v>1.7901</v>
      </c>
      <c r="Q167" s="5">
        <v>2.21</v>
      </c>
    </row>
    <row r="168" spans="1:17">
      <c r="A168" s="1">
        <v>158</v>
      </c>
      <c r="B168" s="1" t="s">
        <v>365</v>
      </c>
      <c r="C168" s="1">
        <v>104269</v>
      </c>
      <c r="D168" s="7">
        <v>41704</v>
      </c>
      <c r="E168" s="1" t="s">
        <v>366</v>
      </c>
      <c r="F168" s="1" t="s">
        <v>307</v>
      </c>
      <c r="G168" s="1" t="s">
        <v>66</v>
      </c>
      <c r="H168" s="1" t="s">
        <v>307</v>
      </c>
      <c r="I168" s="1" t="s">
        <v>33</v>
      </c>
      <c r="J168" s="1" t="s">
        <v>307</v>
      </c>
      <c r="K168" s="1" t="s">
        <v>26</v>
      </c>
      <c r="L168" s="1" t="s">
        <v>307</v>
      </c>
      <c r="M168" s="1" t="s">
        <v>29</v>
      </c>
      <c r="N168" s="5">
        <v>457.56800000000004</v>
      </c>
      <c r="O168" s="27">
        <v>2</v>
      </c>
      <c r="P168" s="5">
        <v>51.476399999999941</v>
      </c>
      <c r="Q168" s="5">
        <v>228.78399999999999</v>
      </c>
    </row>
    <row r="169" spans="1:17">
      <c r="A169" s="1">
        <v>159</v>
      </c>
      <c r="B169" s="1" t="s">
        <v>367</v>
      </c>
      <c r="C169" s="1">
        <v>114104</v>
      </c>
      <c r="D169" s="7">
        <v>42698</v>
      </c>
      <c r="E169" s="1" t="s">
        <v>368</v>
      </c>
      <c r="F169" s="1" t="s">
        <v>370</v>
      </c>
      <c r="G169" s="1" t="s">
        <v>369</v>
      </c>
      <c r="H169" s="1" t="s">
        <v>370</v>
      </c>
      <c r="I169" s="1" t="s">
        <v>71</v>
      </c>
      <c r="J169" s="1" t="s">
        <v>370</v>
      </c>
      <c r="K169" s="1" t="s">
        <v>35</v>
      </c>
      <c r="L169" s="1" t="s">
        <v>370</v>
      </c>
      <c r="M169" s="1" t="s">
        <v>36</v>
      </c>
      <c r="N169" s="5">
        <v>14.62</v>
      </c>
      <c r="O169" s="27">
        <v>2</v>
      </c>
      <c r="P169" s="5">
        <v>6.8713999999999995</v>
      </c>
      <c r="Q169" s="5">
        <v>7.31</v>
      </c>
    </row>
    <row r="170" spans="1:17">
      <c r="A170" s="1">
        <v>160</v>
      </c>
      <c r="B170" s="1" t="s">
        <v>367</v>
      </c>
      <c r="C170" s="1">
        <v>114104</v>
      </c>
      <c r="D170" s="7">
        <v>42698</v>
      </c>
      <c r="E170" s="1" t="s">
        <v>368</v>
      </c>
      <c r="F170" s="1" t="s">
        <v>371</v>
      </c>
      <c r="G170" s="1" t="s">
        <v>369</v>
      </c>
      <c r="H170" s="1" t="s">
        <v>371</v>
      </c>
      <c r="I170" s="1" t="s">
        <v>71</v>
      </c>
      <c r="J170" s="1" t="s">
        <v>371</v>
      </c>
      <c r="K170" s="1" t="s">
        <v>51</v>
      </c>
      <c r="L170" s="1" t="s">
        <v>371</v>
      </c>
      <c r="M170" s="1" t="s">
        <v>52</v>
      </c>
      <c r="N170" s="5">
        <v>944.93000000000006</v>
      </c>
      <c r="O170" s="27">
        <v>7</v>
      </c>
      <c r="P170" s="5">
        <v>236.23250000000002</v>
      </c>
      <c r="Q170" s="5">
        <v>134.99</v>
      </c>
    </row>
    <row r="171" spans="1:17">
      <c r="A171" s="1">
        <v>161</v>
      </c>
      <c r="B171" s="1" t="s">
        <v>372</v>
      </c>
      <c r="C171" s="1">
        <v>162733</v>
      </c>
      <c r="D171" s="7">
        <v>42502</v>
      </c>
      <c r="E171" s="1" t="s">
        <v>373</v>
      </c>
      <c r="F171" s="1" t="s">
        <v>374</v>
      </c>
      <c r="G171" s="1" t="s">
        <v>32</v>
      </c>
      <c r="H171" s="1" t="s">
        <v>374</v>
      </c>
      <c r="I171" s="1" t="s">
        <v>33</v>
      </c>
      <c r="J171" s="1" t="s">
        <v>374</v>
      </c>
      <c r="K171" s="1" t="s">
        <v>35</v>
      </c>
      <c r="L171" s="1" t="s">
        <v>374</v>
      </c>
      <c r="M171" s="1" t="s">
        <v>63</v>
      </c>
      <c r="N171" s="5">
        <v>5.98</v>
      </c>
      <c r="O171" s="27">
        <v>1</v>
      </c>
      <c r="P171" s="5">
        <v>2.6909999999999998</v>
      </c>
      <c r="Q171" s="5">
        <v>5.98</v>
      </c>
    </row>
    <row r="172" spans="1:17">
      <c r="A172" s="1">
        <v>162</v>
      </c>
      <c r="B172" s="1" t="s">
        <v>375</v>
      </c>
      <c r="C172" s="1">
        <v>119697</v>
      </c>
      <c r="D172" s="7">
        <v>42369</v>
      </c>
      <c r="E172" s="1" t="s">
        <v>376</v>
      </c>
      <c r="F172" s="1" t="s">
        <v>377</v>
      </c>
      <c r="G172" s="1" t="s">
        <v>94</v>
      </c>
      <c r="H172" s="1" t="s">
        <v>377</v>
      </c>
      <c r="I172" s="1" t="s">
        <v>95</v>
      </c>
      <c r="J172" s="1" t="s">
        <v>377</v>
      </c>
      <c r="K172" s="1" t="s">
        <v>51</v>
      </c>
      <c r="L172" s="1" t="s">
        <v>377</v>
      </c>
      <c r="M172" s="1" t="s">
        <v>103</v>
      </c>
      <c r="N172" s="5">
        <v>54.384000000000007</v>
      </c>
      <c r="O172" s="27">
        <v>2</v>
      </c>
      <c r="P172" s="5">
        <v>1.359599999999995</v>
      </c>
      <c r="Q172" s="5">
        <v>27.192</v>
      </c>
    </row>
    <row r="173" spans="1:17">
      <c r="A173" s="1">
        <v>163</v>
      </c>
      <c r="B173" s="1" t="s">
        <v>378</v>
      </c>
      <c r="C173" s="1">
        <v>154508</v>
      </c>
      <c r="D173" s="7">
        <v>42694</v>
      </c>
      <c r="E173" s="1" t="s">
        <v>379</v>
      </c>
      <c r="F173" s="1" t="s">
        <v>381</v>
      </c>
      <c r="G173" s="1" t="s">
        <v>380</v>
      </c>
      <c r="H173" s="1" t="s">
        <v>381</v>
      </c>
      <c r="I173" s="1" t="s">
        <v>33</v>
      </c>
      <c r="J173" s="1" t="s">
        <v>381</v>
      </c>
      <c r="K173" s="1" t="s">
        <v>35</v>
      </c>
      <c r="L173" s="1" t="s">
        <v>381</v>
      </c>
      <c r="M173" s="1" t="s">
        <v>110</v>
      </c>
      <c r="N173" s="5">
        <v>28.4</v>
      </c>
      <c r="O173" s="27">
        <v>5</v>
      </c>
      <c r="P173" s="5">
        <v>13.347999999999997</v>
      </c>
      <c r="Q173" s="5">
        <v>5.68</v>
      </c>
    </row>
    <row r="174" spans="1:17">
      <c r="A174" s="1">
        <v>164</v>
      </c>
      <c r="B174" s="1" t="s">
        <v>382</v>
      </c>
      <c r="C174" s="1">
        <v>113817</v>
      </c>
      <c r="D174" s="7">
        <v>42685</v>
      </c>
      <c r="E174" s="1" t="s">
        <v>383</v>
      </c>
      <c r="F174" s="1" t="s">
        <v>384</v>
      </c>
      <c r="G174" s="1" t="s">
        <v>66</v>
      </c>
      <c r="H174" s="1" t="s">
        <v>384</v>
      </c>
      <c r="I174" s="1" t="s">
        <v>33</v>
      </c>
      <c r="J174" s="1" t="s">
        <v>384</v>
      </c>
      <c r="K174" s="1" t="s">
        <v>35</v>
      </c>
      <c r="L174" s="1" t="s">
        <v>384</v>
      </c>
      <c r="M174" s="1" t="s">
        <v>54</v>
      </c>
      <c r="N174" s="5">
        <v>27.680000000000003</v>
      </c>
      <c r="O174" s="27">
        <v>2</v>
      </c>
      <c r="P174" s="5">
        <v>9.6879999999999988</v>
      </c>
      <c r="Q174" s="5">
        <v>13.84</v>
      </c>
    </row>
    <row r="175" spans="1:17">
      <c r="A175" s="1">
        <v>165</v>
      </c>
      <c r="B175" s="1" t="s">
        <v>385</v>
      </c>
      <c r="C175" s="1">
        <v>139892</v>
      </c>
      <c r="D175" s="7">
        <v>41894</v>
      </c>
      <c r="E175" s="1" t="s">
        <v>386</v>
      </c>
      <c r="F175" s="1" t="s">
        <v>387</v>
      </c>
      <c r="G175" s="1" t="s">
        <v>70</v>
      </c>
      <c r="H175" s="1" t="s">
        <v>387</v>
      </c>
      <c r="I175" s="1" t="s">
        <v>71</v>
      </c>
      <c r="J175" s="1" t="s">
        <v>387</v>
      </c>
      <c r="K175" s="1" t="s">
        <v>35</v>
      </c>
      <c r="L175" s="1" t="s">
        <v>387</v>
      </c>
      <c r="M175" s="1" t="s">
        <v>49</v>
      </c>
      <c r="N175" s="5">
        <v>9.9359999999999999</v>
      </c>
      <c r="O175" s="27">
        <v>3</v>
      </c>
      <c r="P175" s="5">
        <v>2.7324000000000002</v>
      </c>
      <c r="Q175" s="5">
        <v>3.3119999999999998</v>
      </c>
    </row>
    <row r="176" spans="1:17">
      <c r="A176" s="1">
        <v>166</v>
      </c>
      <c r="B176" s="1" t="s">
        <v>385</v>
      </c>
      <c r="C176" s="1">
        <v>139892</v>
      </c>
      <c r="D176" s="7">
        <v>41894</v>
      </c>
      <c r="E176" s="1" t="s">
        <v>386</v>
      </c>
      <c r="F176" s="1" t="s">
        <v>388</v>
      </c>
      <c r="G176" s="1" t="s">
        <v>70</v>
      </c>
      <c r="H176" s="1" t="s">
        <v>388</v>
      </c>
      <c r="I176" s="1" t="s">
        <v>71</v>
      </c>
      <c r="J176" s="1" t="s">
        <v>388</v>
      </c>
      <c r="K176" s="1" t="s">
        <v>51</v>
      </c>
      <c r="L176" s="1" t="s">
        <v>388</v>
      </c>
      <c r="M176" s="1" t="s">
        <v>389</v>
      </c>
      <c r="N176" s="5">
        <v>8159.9519999999993</v>
      </c>
      <c r="O176" s="27">
        <v>8</v>
      </c>
      <c r="P176" s="5">
        <v>-1359.992000000002</v>
      </c>
      <c r="Q176" s="5">
        <v>1019.994</v>
      </c>
    </row>
    <row r="177" spans="1:17">
      <c r="A177" s="1">
        <v>167</v>
      </c>
      <c r="B177" s="1" t="s">
        <v>385</v>
      </c>
      <c r="C177" s="1">
        <v>139892</v>
      </c>
      <c r="D177" s="7">
        <v>41894</v>
      </c>
      <c r="E177" s="1" t="s">
        <v>386</v>
      </c>
      <c r="F177" s="1" t="s">
        <v>390</v>
      </c>
      <c r="G177" s="1" t="s">
        <v>70</v>
      </c>
      <c r="H177" s="1" t="s">
        <v>390</v>
      </c>
      <c r="I177" s="1" t="s">
        <v>71</v>
      </c>
      <c r="J177" s="1" t="s">
        <v>390</v>
      </c>
      <c r="K177" s="1" t="s">
        <v>35</v>
      </c>
      <c r="L177" s="1" t="s">
        <v>390</v>
      </c>
      <c r="M177" s="1" t="s">
        <v>43</v>
      </c>
      <c r="N177" s="5">
        <v>275.928</v>
      </c>
      <c r="O177" s="27">
        <v>3</v>
      </c>
      <c r="P177" s="5">
        <v>-58.634699999999995</v>
      </c>
      <c r="Q177" s="5">
        <v>91.975999999999999</v>
      </c>
    </row>
    <row r="178" spans="1:17">
      <c r="A178" s="1">
        <v>168</v>
      </c>
      <c r="B178" s="1" t="s">
        <v>385</v>
      </c>
      <c r="C178" s="1">
        <v>139892</v>
      </c>
      <c r="D178" s="7">
        <v>41894</v>
      </c>
      <c r="E178" s="1" t="s">
        <v>386</v>
      </c>
      <c r="F178" s="1" t="s">
        <v>391</v>
      </c>
      <c r="G178" s="1" t="s">
        <v>70</v>
      </c>
      <c r="H178" s="1" t="s">
        <v>391</v>
      </c>
      <c r="I178" s="1" t="s">
        <v>71</v>
      </c>
      <c r="J178" s="1" t="s">
        <v>391</v>
      </c>
      <c r="K178" s="1" t="s">
        <v>26</v>
      </c>
      <c r="L178" s="1" t="s">
        <v>391</v>
      </c>
      <c r="M178" s="1" t="s">
        <v>29</v>
      </c>
      <c r="N178" s="5">
        <v>1740.0599999999997</v>
      </c>
      <c r="O178" s="27">
        <v>9</v>
      </c>
      <c r="P178" s="5">
        <v>-24.858000000000175</v>
      </c>
      <c r="Q178" s="5">
        <v>193.34</v>
      </c>
    </row>
    <row r="179" spans="1:17">
      <c r="A179" s="1">
        <v>169</v>
      </c>
      <c r="B179" s="1" t="s">
        <v>385</v>
      </c>
      <c r="C179" s="1">
        <v>139892</v>
      </c>
      <c r="D179" s="7">
        <v>41894</v>
      </c>
      <c r="E179" s="1" t="s">
        <v>386</v>
      </c>
      <c r="F179" s="1" t="s">
        <v>392</v>
      </c>
      <c r="G179" s="1" t="s">
        <v>70</v>
      </c>
      <c r="H179" s="1" t="s">
        <v>392</v>
      </c>
      <c r="I179" s="1" t="s">
        <v>71</v>
      </c>
      <c r="J179" s="1" t="s">
        <v>392</v>
      </c>
      <c r="K179" s="1" t="s">
        <v>35</v>
      </c>
      <c r="L179" s="1" t="s">
        <v>392</v>
      </c>
      <c r="M179" s="1" t="s">
        <v>49</v>
      </c>
      <c r="N179" s="5">
        <v>32.064</v>
      </c>
      <c r="O179" s="27">
        <v>6</v>
      </c>
      <c r="P179" s="5">
        <v>6.8135999999999974</v>
      </c>
      <c r="Q179" s="5">
        <v>5.3440000000000003</v>
      </c>
    </row>
    <row r="180" spans="1:17">
      <c r="A180" s="1">
        <v>170</v>
      </c>
      <c r="B180" s="1" t="s">
        <v>385</v>
      </c>
      <c r="C180" s="1">
        <v>139892</v>
      </c>
      <c r="D180" s="7">
        <v>41894</v>
      </c>
      <c r="E180" s="1" t="s">
        <v>386</v>
      </c>
      <c r="F180" s="1" t="s">
        <v>393</v>
      </c>
      <c r="G180" s="1" t="s">
        <v>70</v>
      </c>
      <c r="H180" s="1" t="s">
        <v>393</v>
      </c>
      <c r="I180" s="1" t="s">
        <v>71</v>
      </c>
      <c r="J180" s="1" t="s">
        <v>393</v>
      </c>
      <c r="K180" s="1" t="s">
        <v>35</v>
      </c>
      <c r="L180" s="1" t="s">
        <v>393</v>
      </c>
      <c r="M180" s="1" t="s">
        <v>56</v>
      </c>
      <c r="N180" s="5">
        <v>177.97999999999996</v>
      </c>
      <c r="O180" s="27">
        <v>5</v>
      </c>
      <c r="P180" s="5">
        <v>-453.84900000000005</v>
      </c>
      <c r="Q180" s="5">
        <v>35.595999999999997</v>
      </c>
    </row>
    <row r="181" spans="1:17">
      <c r="A181" s="1">
        <v>171</v>
      </c>
      <c r="B181" s="1" t="s">
        <v>385</v>
      </c>
      <c r="C181" s="1">
        <v>139892</v>
      </c>
      <c r="D181" s="7">
        <v>41894</v>
      </c>
      <c r="E181" s="1" t="s">
        <v>386</v>
      </c>
      <c r="F181" s="1" t="s">
        <v>394</v>
      </c>
      <c r="G181" s="1" t="s">
        <v>70</v>
      </c>
      <c r="H181" s="1" t="s">
        <v>394</v>
      </c>
      <c r="I181" s="1" t="s">
        <v>71</v>
      </c>
      <c r="J181" s="1" t="s">
        <v>394</v>
      </c>
      <c r="K181" s="1" t="s">
        <v>51</v>
      </c>
      <c r="L181" s="1" t="s">
        <v>394</v>
      </c>
      <c r="M181" s="1" t="s">
        <v>52</v>
      </c>
      <c r="N181" s="5">
        <v>143.976</v>
      </c>
      <c r="O181" s="27">
        <v>3</v>
      </c>
      <c r="P181" s="5">
        <v>8.998500000000007</v>
      </c>
      <c r="Q181" s="5">
        <v>47.991999999999997</v>
      </c>
    </row>
    <row r="182" spans="1:17">
      <c r="A182" s="1">
        <v>172</v>
      </c>
      <c r="B182" s="1" t="s">
        <v>395</v>
      </c>
      <c r="C182" s="1">
        <v>118962</v>
      </c>
      <c r="D182" s="7">
        <v>41860</v>
      </c>
      <c r="E182" s="1" t="s">
        <v>396</v>
      </c>
      <c r="F182" s="1" t="s">
        <v>397</v>
      </c>
      <c r="G182" s="1" t="s">
        <v>32</v>
      </c>
      <c r="H182" s="1" t="s">
        <v>397</v>
      </c>
      <c r="I182" s="1" t="s">
        <v>33</v>
      </c>
      <c r="J182" s="1" t="s">
        <v>397</v>
      </c>
      <c r="K182" s="1" t="s">
        <v>35</v>
      </c>
      <c r="L182" s="1" t="s">
        <v>397</v>
      </c>
      <c r="M182" s="1" t="s">
        <v>63</v>
      </c>
      <c r="N182" s="5">
        <v>20.94</v>
      </c>
      <c r="O182" s="27">
        <v>3</v>
      </c>
      <c r="P182" s="5">
        <v>9.841800000000001</v>
      </c>
      <c r="Q182" s="5">
        <v>6.98</v>
      </c>
    </row>
    <row r="183" spans="1:17">
      <c r="A183" s="1">
        <v>173</v>
      </c>
      <c r="B183" s="1" t="s">
        <v>395</v>
      </c>
      <c r="C183" s="1">
        <v>118962</v>
      </c>
      <c r="D183" s="7">
        <v>41860</v>
      </c>
      <c r="E183" s="1" t="s">
        <v>396</v>
      </c>
      <c r="F183" s="1" t="s">
        <v>398</v>
      </c>
      <c r="G183" s="1" t="s">
        <v>32</v>
      </c>
      <c r="H183" s="1" t="s">
        <v>398</v>
      </c>
      <c r="I183" s="1" t="s">
        <v>33</v>
      </c>
      <c r="J183" s="1" t="s">
        <v>398</v>
      </c>
      <c r="K183" s="1" t="s">
        <v>35</v>
      </c>
      <c r="L183" s="1" t="s">
        <v>398</v>
      </c>
      <c r="M183" s="1" t="s">
        <v>63</v>
      </c>
      <c r="N183" s="5">
        <v>110.96</v>
      </c>
      <c r="O183" s="27">
        <v>2</v>
      </c>
      <c r="P183" s="5">
        <v>53.260799999999996</v>
      </c>
      <c r="Q183" s="5">
        <v>55.48</v>
      </c>
    </row>
    <row r="184" spans="1:17">
      <c r="A184" s="1">
        <v>174</v>
      </c>
      <c r="B184" s="1" t="s">
        <v>395</v>
      </c>
      <c r="C184" s="1">
        <v>118962</v>
      </c>
      <c r="D184" s="7">
        <v>41860</v>
      </c>
      <c r="E184" s="1" t="s">
        <v>396</v>
      </c>
      <c r="F184" s="1" t="s">
        <v>399</v>
      </c>
      <c r="G184" s="1" t="s">
        <v>32</v>
      </c>
      <c r="H184" s="1" t="s">
        <v>399</v>
      </c>
      <c r="I184" s="1" t="s">
        <v>33</v>
      </c>
      <c r="J184" s="1" t="s">
        <v>399</v>
      </c>
      <c r="K184" s="1" t="s">
        <v>26</v>
      </c>
      <c r="L184" s="1" t="s">
        <v>399</v>
      </c>
      <c r="M184" s="1" t="s">
        <v>29</v>
      </c>
      <c r="N184" s="5">
        <v>340.14400000000006</v>
      </c>
      <c r="O184" s="27">
        <v>7</v>
      </c>
      <c r="P184" s="5">
        <v>21.259</v>
      </c>
      <c r="Q184" s="5">
        <v>48.591999999999999</v>
      </c>
    </row>
    <row r="185" spans="1:17">
      <c r="A185" s="1">
        <v>175</v>
      </c>
      <c r="B185" s="1" t="s">
        <v>400</v>
      </c>
      <c r="C185" s="1">
        <v>100853</v>
      </c>
      <c r="D185" s="7">
        <v>41901</v>
      </c>
      <c r="E185" s="1" t="s">
        <v>401</v>
      </c>
      <c r="F185" s="1" t="s">
        <v>402</v>
      </c>
      <c r="G185" s="1" t="s">
        <v>129</v>
      </c>
      <c r="H185" s="1" t="s">
        <v>402</v>
      </c>
      <c r="I185" s="1" t="s">
        <v>71</v>
      </c>
      <c r="J185" s="1" t="s">
        <v>402</v>
      </c>
      <c r="K185" s="1" t="s">
        <v>35</v>
      </c>
      <c r="L185" s="1" t="s">
        <v>402</v>
      </c>
      <c r="M185" s="1" t="s">
        <v>56</v>
      </c>
      <c r="N185" s="5">
        <v>52.447999999999993</v>
      </c>
      <c r="O185" s="27">
        <v>2</v>
      </c>
      <c r="P185" s="5">
        <v>-131.12000000000003</v>
      </c>
      <c r="Q185" s="5">
        <v>26.224</v>
      </c>
    </row>
    <row r="186" spans="1:17">
      <c r="A186" s="1">
        <v>176</v>
      </c>
      <c r="B186" s="1" t="s">
        <v>400</v>
      </c>
      <c r="C186" s="1">
        <v>100853</v>
      </c>
      <c r="D186" s="7">
        <v>41901</v>
      </c>
      <c r="E186" s="1" t="s">
        <v>401</v>
      </c>
      <c r="F186" s="1" t="s">
        <v>403</v>
      </c>
      <c r="G186" s="1" t="s">
        <v>129</v>
      </c>
      <c r="H186" s="1" t="s">
        <v>403</v>
      </c>
      <c r="I186" s="1" t="s">
        <v>71</v>
      </c>
      <c r="J186" s="1" t="s">
        <v>403</v>
      </c>
      <c r="K186" s="1" t="s">
        <v>35</v>
      </c>
      <c r="L186" s="1" t="s">
        <v>403</v>
      </c>
      <c r="M186" s="1" t="s">
        <v>36</v>
      </c>
      <c r="N186" s="5">
        <v>20.16</v>
      </c>
      <c r="O186" s="27">
        <v>4</v>
      </c>
      <c r="P186" s="5">
        <v>6.5519999999999987</v>
      </c>
      <c r="Q186" s="5">
        <v>5.04</v>
      </c>
    </row>
    <row r="187" spans="1:17">
      <c r="A187" s="1">
        <v>177</v>
      </c>
      <c r="B187" s="1" t="s">
        <v>404</v>
      </c>
      <c r="C187" s="1">
        <v>152366</v>
      </c>
      <c r="D187" s="7">
        <v>42850</v>
      </c>
      <c r="E187" s="1" t="s">
        <v>405</v>
      </c>
      <c r="F187" s="1" t="s">
        <v>406</v>
      </c>
      <c r="G187" s="1" t="s">
        <v>70</v>
      </c>
      <c r="H187" s="1" t="s">
        <v>406</v>
      </c>
      <c r="I187" s="1" t="s">
        <v>71</v>
      </c>
      <c r="J187" s="1" t="s">
        <v>406</v>
      </c>
      <c r="K187" s="1" t="s">
        <v>35</v>
      </c>
      <c r="L187" s="1" t="s">
        <v>406</v>
      </c>
      <c r="M187" s="1" t="s">
        <v>56</v>
      </c>
      <c r="N187" s="5">
        <v>97.263999999999982</v>
      </c>
      <c r="O187" s="27">
        <v>4</v>
      </c>
      <c r="P187" s="5">
        <v>-243.16000000000008</v>
      </c>
      <c r="Q187" s="5">
        <v>24.315999999999999</v>
      </c>
    </row>
    <row r="188" spans="1:17">
      <c r="A188" s="1">
        <v>178</v>
      </c>
      <c r="B188" s="1" t="s">
        <v>407</v>
      </c>
      <c r="C188" s="1">
        <v>101511</v>
      </c>
      <c r="D188" s="7">
        <v>42331</v>
      </c>
      <c r="E188" s="1" t="s">
        <v>197</v>
      </c>
      <c r="F188" s="1" t="s">
        <v>408</v>
      </c>
      <c r="G188" s="1" t="s">
        <v>288</v>
      </c>
      <c r="H188" s="1" t="s">
        <v>408</v>
      </c>
      <c r="I188" s="1" t="s">
        <v>95</v>
      </c>
      <c r="J188" s="1" t="s">
        <v>408</v>
      </c>
      <c r="K188" s="1" t="s">
        <v>26</v>
      </c>
      <c r="L188" s="1" t="s">
        <v>408</v>
      </c>
      <c r="M188" s="1" t="s">
        <v>29</v>
      </c>
      <c r="N188" s="5">
        <v>396.80200000000002</v>
      </c>
      <c r="O188" s="27">
        <v>7</v>
      </c>
      <c r="P188" s="5">
        <v>-11.337199999999939</v>
      </c>
      <c r="Q188" s="5">
        <v>56.686</v>
      </c>
    </row>
    <row r="189" spans="1:17">
      <c r="A189" s="1">
        <v>179</v>
      </c>
      <c r="B189" s="1" t="s">
        <v>407</v>
      </c>
      <c r="C189" s="1">
        <v>101511</v>
      </c>
      <c r="D189" s="7">
        <v>42331</v>
      </c>
      <c r="E189" s="1" t="s">
        <v>197</v>
      </c>
      <c r="F189" s="1" t="s">
        <v>409</v>
      </c>
      <c r="G189" s="1" t="s">
        <v>288</v>
      </c>
      <c r="H189" s="1" t="s">
        <v>409</v>
      </c>
      <c r="I189" s="1" t="s">
        <v>95</v>
      </c>
      <c r="J189" s="1" t="s">
        <v>409</v>
      </c>
      <c r="K189" s="1" t="s">
        <v>35</v>
      </c>
      <c r="L189" s="1" t="s">
        <v>409</v>
      </c>
      <c r="M189" s="1" t="s">
        <v>331</v>
      </c>
      <c r="N189" s="5">
        <v>15.88</v>
      </c>
      <c r="O189" s="27">
        <v>5</v>
      </c>
      <c r="P189" s="5">
        <v>-3.771500000000001</v>
      </c>
      <c r="Q189" s="5">
        <v>3.1760000000000002</v>
      </c>
    </row>
    <row r="190" spans="1:17">
      <c r="A190" s="1">
        <v>180</v>
      </c>
      <c r="B190" s="1" t="s">
        <v>410</v>
      </c>
      <c r="C190" s="1">
        <v>137225</v>
      </c>
      <c r="D190" s="7">
        <v>42357</v>
      </c>
      <c r="E190" s="1" t="s">
        <v>411</v>
      </c>
      <c r="F190" s="1" t="s">
        <v>412</v>
      </c>
      <c r="G190" s="1" t="s">
        <v>161</v>
      </c>
      <c r="H190" s="1" t="s">
        <v>412</v>
      </c>
      <c r="I190" s="1" t="s">
        <v>95</v>
      </c>
      <c r="J190" s="1" t="s">
        <v>412</v>
      </c>
      <c r="K190" s="1" t="s">
        <v>35</v>
      </c>
      <c r="L190" s="1" t="s">
        <v>412</v>
      </c>
      <c r="M190" s="1" t="s">
        <v>49</v>
      </c>
      <c r="N190" s="5">
        <v>3.28</v>
      </c>
      <c r="O190" s="27">
        <v>1</v>
      </c>
      <c r="P190" s="5">
        <v>1.4104000000000001</v>
      </c>
      <c r="Q190" s="5">
        <v>3.28</v>
      </c>
    </row>
    <row r="191" spans="1:17">
      <c r="A191" s="1">
        <v>181</v>
      </c>
      <c r="B191" s="1" t="s">
        <v>413</v>
      </c>
      <c r="C191" s="1">
        <v>166191</v>
      </c>
      <c r="D191" s="7">
        <v>41982</v>
      </c>
      <c r="E191" s="1" t="s">
        <v>414</v>
      </c>
      <c r="F191" s="1" t="s">
        <v>415</v>
      </c>
      <c r="G191" s="1" t="s">
        <v>129</v>
      </c>
      <c r="H191" s="1" t="s">
        <v>415</v>
      </c>
      <c r="I191" s="1" t="s">
        <v>71</v>
      </c>
      <c r="J191" s="1" t="s">
        <v>415</v>
      </c>
      <c r="K191" s="1" t="s">
        <v>35</v>
      </c>
      <c r="L191" s="1" t="s">
        <v>415</v>
      </c>
      <c r="M191" s="1" t="s">
        <v>43</v>
      </c>
      <c r="N191" s="5">
        <v>24.816000000000003</v>
      </c>
      <c r="O191" s="27">
        <v>2</v>
      </c>
      <c r="P191" s="5">
        <v>1.8612000000000002</v>
      </c>
      <c r="Q191" s="5">
        <v>12.407999999999999</v>
      </c>
    </row>
    <row r="192" spans="1:17">
      <c r="A192" s="1">
        <v>182</v>
      </c>
      <c r="B192" s="1" t="s">
        <v>413</v>
      </c>
      <c r="C192" s="1">
        <v>166191</v>
      </c>
      <c r="D192" s="7">
        <v>41982</v>
      </c>
      <c r="E192" s="1" t="s">
        <v>414</v>
      </c>
      <c r="F192" s="1" t="s">
        <v>416</v>
      </c>
      <c r="G192" s="1" t="s">
        <v>129</v>
      </c>
      <c r="H192" s="1" t="s">
        <v>416</v>
      </c>
      <c r="I192" s="1" t="s">
        <v>71</v>
      </c>
      <c r="J192" s="1" t="s">
        <v>416</v>
      </c>
      <c r="K192" s="1" t="s">
        <v>51</v>
      </c>
      <c r="L192" s="1" t="s">
        <v>416</v>
      </c>
      <c r="M192" s="1" t="s">
        <v>103</v>
      </c>
      <c r="N192" s="5">
        <v>408.74399999999997</v>
      </c>
      <c r="O192" s="27">
        <v>7</v>
      </c>
      <c r="P192" s="5">
        <v>76.639499999999984</v>
      </c>
      <c r="Q192" s="5">
        <v>58.392000000000003</v>
      </c>
    </row>
    <row r="193" spans="1:17">
      <c r="A193" s="1">
        <v>183</v>
      </c>
      <c r="B193" s="1" t="s">
        <v>417</v>
      </c>
      <c r="C193" s="1">
        <v>158274</v>
      </c>
      <c r="D193" s="7">
        <v>41967</v>
      </c>
      <c r="E193" s="1" t="s">
        <v>418</v>
      </c>
      <c r="F193" s="1" t="s">
        <v>420</v>
      </c>
      <c r="G193" s="1" t="s">
        <v>419</v>
      </c>
      <c r="H193" s="1" t="s">
        <v>420</v>
      </c>
      <c r="I193" s="1" t="s">
        <v>24</v>
      </c>
      <c r="J193" s="1" t="s">
        <v>420</v>
      </c>
      <c r="K193" s="1" t="s">
        <v>51</v>
      </c>
      <c r="L193" s="1" t="s">
        <v>420</v>
      </c>
      <c r="M193" s="1" t="s">
        <v>52</v>
      </c>
      <c r="N193" s="5">
        <v>503.96</v>
      </c>
      <c r="O193" s="27">
        <v>4</v>
      </c>
      <c r="P193" s="5">
        <v>131.02960000000002</v>
      </c>
      <c r="Q193" s="5">
        <v>125.99</v>
      </c>
    </row>
    <row r="194" spans="1:17">
      <c r="A194" s="1">
        <v>184</v>
      </c>
      <c r="B194" s="1" t="s">
        <v>417</v>
      </c>
      <c r="C194" s="1">
        <v>158274</v>
      </c>
      <c r="D194" s="7">
        <v>41967</v>
      </c>
      <c r="E194" s="1" t="s">
        <v>418</v>
      </c>
      <c r="F194" s="1" t="s">
        <v>421</v>
      </c>
      <c r="G194" s="1" t="s">
        <v>419</v>
      </c>
      <c r="H194" s="1" t="s">
        <v>421</v>
      </c>
      <c r="I194" s="1" t="s">
        <v>24</v>
      </c>
      <c r="J194" s="1" t="s">
        <v>421</v>
      </c>
      <c r="K194" s="1" t="s">
        <v>51</v>
      </c>
      <c r="L194" s="1" t="s">
        <v>421</v>
      </c>
      <c r="M194" s="1" t="s">
        <v>52</v>
      </c>
      <c r="N194" s="5">
        <v>149.94999999999999</v>
      </c>
      <c r="O194" s="27">
        <v>5</v>
      </c>
      <c r="P194" s="5">
        <v>41.986000000000004</v>
      </c>
      <c r="Q194" s="5">
        <v>29.99</v>
      </c>
    </row>
    <row r="195" spans="1:17">
      <c r="A195" s="1">
        <v>185</v>
      </c>
      <c r="B195" s="1" t="s">
        <v>417</v>
      </c>
      <c r="C195" s="1">
        <v>158274</v>
      </c>
      <c r="D195" s="7">
        <v>41967</v>
      </c>
      <c r="E195" s="1" t="s">
        <v>418</v>
      </c>
      <c r="F195" s="1" t="s">
        <v>422</v>
      </c>
      <c r="G195" s="1" t="s">
        <v>419</v>
      </c>
      <c r="H195" s="1" t="s">
        <v>422</v>
      </c>
      <c r="I195" s="1" t="s">
        <v>24</v>
      </c>
      <c r="J195" s="1" t="s">
        <v>422</v>
      </c>
      <c r="K195" s="1" t="s">
        <v>51</v>
      </c>
      <c r="L195" s="1" t="s">
        <v>422</v>
      </c>
      <c r="M195" s="1" t="s">
        <v>103</v>
      </c>
      <c r="N195" s="5">
        <v>29</v>
      </c>
      <c r="O195" s="27">
        <v>2</v>
      </c>
      <c r="P195" s="5">
        <v>7.25</v>
      </c>
      <c r="Q195" s="5">
        <v>14.5</v>
      </c>
    </row>
    <row r="196" spans="1:17">
      <c r="A196" s="1">
        <v>186</v>
      </c>
      <c r="B196" s="1" t="s">
        <v>423</v>
      </c>
      <c r="C196" s="1">
        <v>105018</v>
      </c>
      <c r="D196" s="7">
        <v>42706</v>
      </c>
      <c r="E196" s="1" t="s">
        <v>424</v>
      </c>
      <c r="F196" s="1" t="s">
        <v>426</v>
      </c>
      <c r="G196" s="1" t="s">
        <v>425</v>
      </c>
      <c r="H196" s="1" t="s">
        <v>426</v>
      </c>
      <c r="I196" s="1" t="s">
        <v>95</v>
      </c>
      <c r="J196" s="1" t="s">
        <v>426</v>
      </c>
      <c r="K196" s="1" t="s">
        <v>35</v>
      </c>
      <c r="L196" s="1" t="s">
        <v>426</v>
      </c>
      <c r="M196" s="1" t="s">
        <v>54</v>
      </c>
      <c r="N196" s="5">
        <v>7.16</v>
      </c>
      <c r="O196" s="27">
        <v>2</v>
      </c>
      <c r="P196" s="5">
        <v>3.4367999999999999</v>
      </c>
      <c r="Q196" s="5">
        <v>3.58</v>
      </c>
    </row>
    <row r="197" spans="1:17">
      <c r="A197" s="1">
        <v>187</v>
      </c>
      <c r="B197" s="1" t="s">
        <v>427</v>
      </c>
      <c r="C197" s="1">
        <v>123260</v>
      </c>
      <c r="D197" s="7">
        <v>41881</v>
      </c>
      <c r="E197" s="1" t="s">
        <v>428</v>
      </c>
      <c r="F197" s="1" t="s">
        <v>429</v>
      </c>
      <c r="G197" s="1" t="s">
        <v>32</v>
      </c>
      <c r="H197" s="1" t="s">
        <v>429</v>
      </c>
      <c r="I197" s="1" t="s">
        <v>33</v>
      </c>
      <c r="J197" s="1" t="s">
        <v>429</v>
      </c>
      <c r="K197" s="1" t="s">
        <v>51</v>
      </c>
      <c r="L197" s="1" t="s">
        <v>429</v>
      </c>
      <c r="M197" s="1" t="s">
        <v>103</v>
      </c>
      <c r="N197" s="5">
        <v>176.8</v>
      </c>
      <c r="O197" s="27">
        <v>8</v>
      </c>
      <c r="P197" s="5">
        <v>22.984000000000009</v>
      </c>
      <c r="Q197" s="5">
        <v>22.1</v>
      </c>
    </row>
    <row r="198" spans="1:17">
      <c r="A198" s="1">
        <v>188</v>
      </c>
      <c r="B198" s="1" t="s">
        <v>430</v>
      </c>
      <c r="C198" s="1">
        <v>157000</v>
      </c>
      <c r="D198" s="7">
        <v>42573</v>
      </c>
      <c r="E198" s="1" t="s">
        <v>431</v>
      </c>
      <c r="F198" s="1" t="s">
        <v>432</v>
      </c>
      <c r="G198" s="1" t="s">
        <v>70</v>
      </c>
      <c r="H198" s="1" t="s">
        <v>432</v>
      </c>
      <c r="I198" s="1" t="s">
        <v>71</v>
      </c>
      <c r="J198" s="1" t="s">
        <v>432</v>
      </c>
      <c r="K198" s="1" t="s">
        <v>35</v>
      </c>
      <c r="L198" s="1" t="s">
        <v>432</v>
      </c>
      <c r="M198" s="1" t="s">
        <v>43</v>
      </c>
      <c r="N198" s="5">
        <v>37.224000000000004</v>
      </c>
      <c r="O198" s="27">
        <v>3</v>
      </c>
      <c r="P198" s="5">
        <v>3.7224000000000004</v>
      </c>
      <c r="Q198" s="5">
        <v>12.407999999999999</v>
      </c>
    </row>
    <row r="199" spans="1:17">
      <c r="A199" s="1">
        <v>189</v>
      </c>
      <c r="B199" s="1" t="s">
        <v>430</v>
      </c>
      <c r="C199" s="1">
        <v>157000</v>
      </c>
      <c r="D199" s="7">
        <v>42573</v>
      </c>
      <c r="E199" s="1" t="s">
        <v>431</v>
      </c>
      <c r="F199" s="1" t="s">
        <v>359</v>
      </c>
      <c r="G199" s="1" t="s">
        <v>70</v>
      </c>
      <c r="H199" s="1" t="s">
        <v>359</v>
      </c>
      <c r="I199" s="1" t="s">
        <v>71</v>
      </c>
      <c r="J199" s="1" t="s">
        <v>359</v>
      </c>
      <c r="K199" s="1" t="s">
        <v>35</v>
      </c>
      <c r="L199" s="1" t="s">
        <v>359</v>
      </c>
      <c r="M199" s="1" t="s">
        <v>63</v>
      </c>
      <c r="N199" s="5">
        <v>20.016000000000002</v>
      </c>
      <c r="O199" s="27">
        <v>3</v>
      </c>
      <c r="P199" s="5">
        <v>6.2549999999999963</v>
      </c>
      <c r="Q199" s="5">
        <v>6.6719999999999997</v>
      </c>
    </row>
    <row r="200" spans="1:17">
      <c r="A200" s="1">
        <v>190</v>
      </c>
      <c r="B200" s="1" t="s">
        <v>433</v>
      </c>
      <c r="C200" s="1">
        <v>102281</v>
      </c>
      <c r="D200" s="7">
        <v>42291</v>
      </c>
      <c r="E200" s="1" t="s">
        <v>434</v>
      </c>
      <c r="F200" s="1" t="s">
        <v>435</v>
      </c>
      <c r="G200" s="1" t="s">
        <v>161</v>
      </c>
      <c r="H200" s="1" t="s">
        <v>435</v>
      </c>
      <c r="I200" s="1" t="s">
        <v>95</v>
      </c>
      <c r="J200" s="1" t="s">
        <v>435</v>
      </c>
      <c r="K200" s="1" t="s">
        <v>26</v>
      </c>
      <c r="L200" s="1" t="s">
        <v>435</v>
      </c>
      <c r="M200" s="1" t="s">
        <v>27</v>
      </c>
      <c r="N200" s="5">
        <v>899.13600000000008</v>
      </c>
      <c r="O200" s="27">
        <v>4</v>
      </c>
      <c r="P200" s="5">
        <v>112.39199999999991</v>
      </c>
      <c r="Q200" s="5">
        <v>224.78399999999999</v>
      </c>
    </row>
    <row r="201" spans="1:17">
      <c r="A201" s="1">
        <v>191</v>
      </c>
      <c r="B201" s="1" t="s">
        <v>433</v>
      </c>
      <c r="C201" s="1">
        <v>102281</v>
      </c>
      <c r="D201" s="7">
        <v>42291</v>
      </c>
      <c r="E201" s="1" t="s">
        <v>434</v>
      </c>
      <c r="F201" s="1" t="s">
        <v>436</v>
      </c>
      <c r="G201" s="1" t="s">
        <v>161</v>
      </c>
      <c r="H201" s="1" t="s">
        <v>436</v>
      </c>
      <c r="I201" s="1" t="s">
        <v>95</v>
      </c>
      <c r="J201" s="1" t="s">
        <v>436</v>
      </c>
      <c r="K201" s="1" t="s">
        <v>51</v>
      </c>
      <c r="L201" s="1" t="s">
        <v>436</v>
      </c>
      <c r="M201" s="1" t="s">
        <v>52</v>
      </c>
      <c r="N201" s="5">
        <v>71.760000000000005</v>
      </c>
      <c r="O201" s="27">
        <v>6</v>
      </c>
      <c r="P201" s="5">
        <v>20.092800000000004</v>
      </c>
      <c r="Q201" s="5">
        <v>11.96</v>
      </c>
    </row>
    <row r="202" spans="1:17">
      <c r="A202" s="1">
        <v>192</v>
      </c>
      <c r="B202" s="1" t="s">
        <v>433</v>
      </c>
      <c r="C202" s="1">
        <v>102281</v>
      </c>
      <c r="D202" s="7">
        <v>42291</v>
      </c>
      <c r="E202" s="1" t="s">
        <v>434</v>
      </c>
      <c r="F202" s="1" t="s">
        <v>437</v>
      </c>
      <c r="G202" s="1" t="s">
        <v>161</v>
      </c>
      <c r="H202" s="1" t="s">
        <v>437</v>
      </c>
      <c r="I202" s="1" t="s">
        <v>95</v>
      </c>
      <c r="J202" s="1" t="s">
        <v>437</v>
      </c>
      <c r="K202" s="1" t="s">
        <v>35</v>
      </c>
      <c r="L202" s="1" t="s">
        <v>437</v>
      </c>
      <c r="M202" s="1" t="s">
        <v>63</v>
      </c>
      <c r="N202" s="5">
        <v>51.84</v>
      </c>
      <c r="O202" s="27">
        <v>8</v>
      </c>
      <c r="P202" s="5">
        <v>24.883200000000002</v>
      </c>
      <c r="Q202" s="5">
        <v>6.48</v>
      </c>
    </row>
    <row r="203" spans="1:17">
      <c r="A203" s="1">
        <v>193</v>
      </c>
      <c r="B203" s="1" t="s">
        <v>433</v>
      </c>
      <c r="C203" s="1">
        <v>102281</v>
      </c>
      <c r="D203" s="7">
        <v>42291</v>
      </c>
      <c r="E203" s="1" t="s">
        <v>434</v>
      </c>
      <c r="F203" s="1" t="s">
        <v>124</v>
      </c>
      <c r="G203" s="1" t="s">
        <v>161</v>
      </c>
      <c r="H203" s="1" t="s">
        <v>124</v>
      </c>
      <c r="I203" s="1" t="s">
        <v>95</v>
      </c>
      <c r="J203" s="1" t="s">
        <v>124</v>
      </c>
      <c r="K203" s="1" t="s">
        <v>26</v>
      </c>
      <c r="L203" s="1" t="s">
        <v>124</v>
      </c>
      <c r="M203" s="1" t="s">
        <v>27</v>
      </c>
      <c r="N203" s="5">
        <v>626.35200000000009</v>
      </c>
      <c r="O203" s="27">
        <v>3</v>
      </c>
      <c r="P203" s="5">
        <v>46.976400000000012</v>
      </c>
      <c r="Q203" s="5">
        <v>208.78399999999999</v>
      </c>
    </row>
    <row r="204" spans="1:17">
      <c r="A204" s="1">
        <v>194</v>
      </c>
      <c r="B204" s="1" t="s">
        <v>433</v>
      </c>
      <c r="C204" s="1">
        <v>102281</v>
      </c>
      <c r="D204" s="7">
        <v>42291</v>
      </c>
      <c r="E204" s="1" t="s">
        <v>434</v>
      </c>
      <c r="F204" s="1" t="s">
        <v>438</v>
      </c>
      <c r="G204" s="1" t="s">
        <v>161</v>
      </c>
      <c r="H204" s="1" t="s">
        <v>438</v>
      </c>
      <c r="I204" s="1" t="s">
        <v>95</v>
      </c>
      <c r="J204" s="1" t="s">
        <v>438</v>
      </c>
      <c r="K204" s="1" t="s">
        <v>35</v>
      </c>
      <c r="L204" s="1" t="s">
        <v>438</v>
      </c>
      <c r="M204" s="1" t="s">
        <v>49</v>
      </c>
      <c r="N204" s="5">
        <v>19.899999999999999</v>
      </c>
      <c r="O204" s="27">
        <v>5</v>
      </c>
      <c r="P204" s="5">
        <v>6.5669999999999984</v>
      </c>
      <c r="Q204" s="5">
        <v>3.98</v>
      </c>
    </row>
    <row r="205" spans="1:17">
      <c r="A205" s="1">
        <v>195</v>
      </c>
      <c r="B205" s="1" t="s">
        <v>439</v>
      </c>
      <c r="C205" s="1">
        <v>131457</v>
      </c>
      <c r="D205" s="7">
        <v>42314</v>
      </c>
      <c r="E205" s="1" t="s">
        <v>440</v>
      </c>
      <c r="F205" s="1" t="s">
        <v>109</v>
      </c>
      <c r="G205" s="1" t="s">
        <v>32</v>
      </c>
      <c r="H205" s="1" t="s">
        <v>109</v>
      </c>
      <c r="I205" s="1" t="s">
        <v>33</v>
      </c>
      <c r="J205" s="1" t="s">
        <v>109</v>
      </c>
      <c r="K205" s="1" t="s">
        <v>35</v>
      </c>
      <c r="L205" s="1" t="s">
        <v>109</v>
      </c>
      <c r="M205" s="1" t="s">
        <v>110</v>
      </c>
      <c r="N205" s="5">
        <v>14.280000000000001</v>
      </c>
      <c r="O205" s="27">
        <v>7</v>
      </c>
      <c r="P205" s="5">
        <v>6.7115999999999989</v>
      </c>
      <c r="Q205" s="5">
        <v>2.04</v>
      </c>
    </row>
    <row r="206" spans="1:17">
      <c r="A206" s="1">
        <v>196</v>
      </c>
      <c r="B206" s="1" t="s">
        <v>441</v>
      </c>
      <c r="C206" s="1">
        <v>140004</v>
      </c>
      <c r="D206" s="7">
        <v>41723</v>
      </c>
      <c r="E206" s="1" t="s">
        <v>442</v>
      </c>
      <c r="F206" s="1" t="s">
        <v>443</v>
      </c>
      <c r="G206" s="1" t="s">
        <v>288</v>
      </c>
      <c r="H206" s="1" t="s">
        <v>443</v>
      </c>
      <c r="I206" s="1" t="s">
        <v>95</v>
      </c>
      <c r="J206" s="1" t="s">
        <v>443</v>
      </c>
      <c r="K206" s="1" t="s">
        <v>35</v>
      </c>
      <c r="L206" s="1" t="s">
        <v>443</v>
      </c>
      <c r="M206" s="1" t="s">
        <v>49</v>
      </c>
      <c r="N206" s="5">
        <v>7.4080000000000004</v>
      </c>
      <c r="O206" s="27">
        <v>2</v>
      </c>
      <c r="P206" s="5">
        <v>1.2037999999999995</v>
      </c>
      <c r="Q206" s="5">
        <v>3.7040000000000002</v>
      </c>
    </row>
    <row r="207" spans="1:17">
      <c r="A207" s="1">
        <v>197</v>
      </c>
      <c r="B207" s="1" t="s">
        <v>441</v>
      </c>
      <c r="C207" s="1">
        <v>140004</v>
      </c>
      <c r="D207" s="7">
        <v>41723</v>
      </c>
      <c r="E207" s="1" t="s">
        <v>442</v>
      </c>
      <c r="F207" s="1" t="s">
        <v>444</v>
      </c>
      <c r="G207" s="1" t="s">
        <v>288</v>
      </c>
      <c r="H207" s="1" t="s">
        <v>444</v>
      </c>
      <c r="I207" s="1" t="s">
        <v>95</v>
      </c>
      <c r="J207" s="1" t="s">
        <v>444</v>
      </c>
      <c r="K207" s="1" t="s">
        <v>35</v>
      </c>
      <c r="L207" s="1" t="s">
        <v>444</v>
      </c>
      <c r="M207" s="1" t="s">
        <v>49</v>
      </c>
      <c r="N207" s="5">
        <v>6.048</v>
      </c>
      <c r="O207" s="27">
        <v>3</v>
      </c>
      <c r="P207" s="5">
        <v>1.5876000000000006</v>
      </c>
      <c r="Q207" s="5">
        <v>2.016</v>
      </c>
    </row>
    <row r="208" spans="1:17">
      <c r="A208" s="1">
        <v>198</v>
      </c>
      <c r="B208" s="1" t="s">
        <v>445</v>
      </c>
      <c r="C208" s="1">
        <v>107720</v>
      </c>
      <c r="D208" s="7">
        <v>43052</v>
      </c>
      <c r="E208" s="1" t="s">
        <v>446</v>
      </c>
      <c r="F208" s="1" t="s">
        <v>448</v>
      </c>
      <c r="G208" s="1" t="s">
        <v>447</v>
      </c>
      <c r="H208" s="1" t="s">
        <v>448</v>
      </c>
      <c r="I208" s="1" t="s">
        <v>95</v>
      </c>
      <c r="J208" s="1" t="s">
        <v>448</v>
      </c>
      <c r="K208" s="1" t="s">
        <v>35</v>
      </c>
      <c r="L208" s="1" t="s">
        <v>448</v>
      </c>
      <c r="M208" s="1" t="s">
        <v>43</v>
      </c>
      <c r="N208" s="5">
        <v>46.26</v>
      </c>
      <c r="O208" s="27">
        <v>3</v>
      </c>
      <c r="P208" s="5">
        <v>12.0276</v>
      </c>
      <c r="Q208" s="5">
        <v>15.42</v>
      </c>
    </row>
    <row r="209" spans="1:17">
      <c r="A209" s="1">
        <v>199</v>
      </c>
      <c r="B209" s="1" t="s">
        <v>449</v>
      </c>
      <c r="C209" s="1">
        <v>124303</v>
      </c>
      <c r="D209" s="7">
        <v>42929</v>
      </c>
      <c r="E209" s="1" t="s">
        <v>450</v>
      </c>
      <c r="F209" s="1" t="s">
        <v>451</v>
      </c>
      <c r="G209" s="1" t="s">
        <v>94</v>
      </c>
      <c r="H209" s="1" t="s">
        <v>451</v>
      </c>
      <c r="I209" s="1" t="s">
        <v>95</v>
      </c>
      <c r="J209" s="1" t="s">
        <v>451</v>
      </c>
      <c r="K209" s="1" t="s">
        <v>35</v>
      </c>
      <c r="L209" s="1" t="s">
        <v>451</v>
      </c>
      <c r="M209" s="1" t="s">
        <v>54</v>
      </c>
      <c r="N209" s="5">
        <v>2.9460000000000006</v>
      </c>
      <c r="O209" s="27">
        <v>2</v>
      </c>
      <c r="P209" s="5">
        <v>-2.2585999999999995</v>
      </c>
      <c r="Q209" s="5">
        <v>1.4730000000000001</v>
      </c>
    </row>
    <row r="210" spans="1:17">
      <c r="A210" s="1">
        <v>200</v>
      </c>
      <c r="B210" s="1" t="s">
        <v>449</v>
      </c>
      <c r="C210" s="1">
        <v>124303</v>
      </c>
      <c r="D210" s="7">
        <v>42929</v>
      </c>
      <c r="E210" s="1" t="s">
        <v>450</v>
      </c>
      <c r="F210" s="1" t="s">
        <v>452</v>
      </c>
      <c r="G210" s="1" t="s">
        <v>94</v>
      </c>
      <c r="H210" s="1" t="s">
        <v>452</v>
      </c>
      <c r="I210" s="1" t="s">
        <v>95</v>
      </c>
      <c r="J210" s="1" t="s">
        <v>452</v>
      </c>
      <c r="K210" s="1" t="s">
        <v>35</v>
      </c>
      <c r="L210" s="1" t="s">
        <v>452</v>
      </c>
      <c r="M210" s="1" t="s">
        <v>63</v>
      </c>
      <c r="N210" s="5">
        <v>16.056000000000001</v>
      </c>
      <c r="O210" s="27">
        <v>3</v>
      </c>
      <c r="P210" s="5">
        <v>5.8203000000000005</v>
      </c>
      <c r="Q210" s="5">
        <v>5.3520000000000003</v>
      </c>
    </row>
    <row r="211" spans="1:17">
      <c r="A211" s="1">
        <v>201</v>
      </c>
      <c r="B211" s="1" t="s">
        <v>453</v>
      </c>
      <c r="C211" s="1">
        <v>105074</v>
      </c>
      <c r="D211" s="7">
        <v>42915</v>
      </c>
      <c r="E211" s="1" t="s">
        <v>454</v>
      </c>
      <c r="F211" s="1" t="s">
        <v>455</v>
      </c>
      <c r="G211" s="1" t="s">
        <v>288</v>
      </c>
      <c r="H211" s="1" t="s">
        <v>455</v>
      </c>
      <c r="I211" s="1" t="s">
        <v>95</v>
      </c>
      <c r="J211" s="1" t="s">
        <v>455</v>
      </c>
      <c r="K211" s="1" t="s">
        <v>35</v>
      </c>
      <c r="L211" s="1" t="s">
        <v>455</v>
      </c>
      <c r="M211" s="1" t="s">
        <v>63</v>
      </c>
      <c r="N211" s="5">
        <v>21.744000000000003</v>
      </c>
      <c r="O211" s="27">
        <v>3</v>
      </c>
      <c r="P211" s="5">
        <v>6.794999999999999</v>
      </c>
      <c r="Q211" s="5">
        <v>7.2480000000000002</v>
      </c>
    </row>
    <row r="212" spans="1:17">
      <c r="A212" s="1">
        <v>202</v>
      </c>
      <c r="B212" s="1" t="s">
        <v>456</v>
      </c>
      <c r="C212" s="1">
        <v>133690</v>
      </c>
      <c r="D212" s="7">
        <v>41856</v>
      </c>
      <c r="E212" s="1" t="s">
        <v>457</v>
      </c>
      <c r="F212" s="1" t="s">
        <v>458</v>
      </c>
      <c r="G212" s="1" t="s">
        <v>266</v>
      </c>
      <c r="H212" s="1" t="s">
        <v>458</v>
      </c>
      <c r="I212" s="1" t="s">
        <v>33</v>
      </c>
      <c r="J212" s="1" t="s">
        <v>458</v>
      </c>
      <c r="K212" s="1" t="s">
        <v>26</v>
      </c>
      <c r="L212" s="1" t="s">
        <v>458</v>
      </c>
      <c r="M212" s="1" t="s">
        <v>41</v>
      </c>
      <c r="N212" s="5">
        <v>218.75</v>
      </c>
      <c r="O212" s="27">
        <v>2</v>
      </c>
      <c r="P212" s="5">
        <v>-161.875</v>
      </c>
      <c r="Q212" s="5">
        <v>109.375</v>
      </c>
    </row>
    <row r="213" spans="1:17">
      <c r="A213" s="1">
        <v>203</v>
      </c>
      <c r="B213" s="1" t="s">
        <v>456</v>
      </c>
      <c r="C213" s="1">
        <v>133690</v>
      </c>
      <c r="D213" s="7">
        <v>41856</v>
      </c>
      <c r="E213" s="1" t="s">
        <v>457</v>
      </c>
      <c r="F213" s="1" t="s">
        <v>459</v>
      </c>
      <c r="G213" s="1" t="s">
        <v>266</v>
      </c>
      <c r="H213" s="1" t="s">
        <v>459</v>
      </c>
      <c r="I213" s="1" t="s">
        <v>33</v>
      </c>
      <c r="J213" s="1" t="s">
        <v>459</v>
      </c>
      <c r="K213" s="1" t="s">
        <v>35</v>
      </c>
      <c r="L213" s="1" t="s">
        <v>459</v>
      </c>
      <c r="M213" s="1" t="s">
        <v>56</v>
      </c>
      <c r="N213" s="5">
        <v>2.6</v>
      </c>
      <c r="O213" s="27">
        <v>1</v>
      </c>
      <c r="P213" s="5">
        <v>0.29249999999999987</v>
      </c>
      <c r="Q213" s="5">
        <v>2.6</v>
      </c>
    </row>
    <row r="214" spans="1:17">
      <c r="A214" s="1">
        <v>204</v>
      </c>
      <c r="B214" s="1" t="s">
        <v>460</v>
      </c>
      <c r="C214" s="1">
        <v>116701</v>
      </c>
      <c r="D214" s="7">
        <v>43090</v>
      </c>
      <c r="E214" s="1" t="s">
        <v>461</v>
      </c>
      <c r="F214" s="1" t="s">
        <v>462</v>
      </c>
      <c r="G214" s="1" t="s">
        <v>70</v>
      </c>
      <c r="H214" s="1" t="s">
        <v>462</v>
      </c>
      <c r="I214" s="1" t="s">
        <v>71</v>
      </c>
      <c r="J214" s="1" t="s">
        <v>462</v>
      </c>
      <c r="K214" s="1" t="s">
        <v>35</v>
      </c>
      <c r="L214" s="1" t="s">
        <v>462</v>
      </c>
      <c r="M214" s="1" t="s">
        <v>56</v>
      </c>
      <c r="N214" s="5">
        <v>66.283999999999992</v>
      </c>
      <c r="O214" s="27">
        <v>2</v>
      </c>
      <c r="P214" s="5">
        <v>-178.96680000000001</v>
      </c>
      <c r="Q214" s="5">
        <v>33.142000000000003</v>
      </c>
    </row>
    <row r="215" spans="1:17">
      <c r="A215" s="1">
        <v>205</v>
      </c>
      <c r="B215" s="1" t="s">
        <v>463</v>
      </c>
      <c r="C215" s="1">
        <v>126382</v>
      </c>
      <c r="D215" s="7">
        <v>42893</v>
      </c>
      <c r="E215" s="1" t="s">
        <v>464</v>
      </c>
      <c r="F215" s="1" t="s">
        <v>465</v>
      </c>
      <c r="G215" s="1" t="s">
        <v>198</v>
      </c>
      <c r="H215" s="1" t="s">
        <v>465</v>
      </c>
      <c r="I215" s="1" t="s">
        <v>24</v>
      </c>
      <c r="J215" s="1" t="s">
        <v>465</v>
      </c>
      <c r="K215" s="1" t="s">
        <v>26</v>
      </c>
      <c r="L215" s="1" t="s">
        <v>465</v>
      </c>
      <c r="M215" s="1" t="s">
        <v>47</v>
      </c>
      <c r="N215" s="5">
        <v>35.168000000000006</v>
      </c>
      <c r="O215" s="27">
        <v>7</v>
      </c>
      <c r="P215" s="5">
        <v>9.6712000000000025</v>
      </c>
      <c r="Q215" s="5">
        <v>5.024</v>
      </c>
    </row>
    <row r="216" spans="1:17">
      <c r="A216" s="1">
        <v>206</v>
      </c>
      <c r="B216" s="1" t="s">
        <v>466</v>
      </c>
      <c r="C216" s="1">
        <v>108329</v>
      </c>
      <c r="D216" s="7">
        <v>43083</v>
      </c>
      <c r="E216" s="1" t="s">
        <v>467</v>
      </c>
      <c r="F216" s="1" t="s">
        <v>468</v>
      </c>
      <c r="G216" s="1" t="s">
        <v>32</v>
      </c>
      <c r="H216" s="1" t="s">
        <v>468</v>
      </c>
      <c r="I216" s="1" t="s">
        <v>33</v>
      </c>
      <c r="J216" s="1" t="s">
        <v>468</v>
      </c>
      <c r="K216" s="1" t="s">
        <v>51</v>
      </c>
      <c r="L216" s="1" t="s">
        <v>468</v>
      </c>
      <c r="M216" s="1" t="s">
        <v>52</v>
      </c>
      <c r="N216" s="5">
        <v>444.76800000000003</v>
      </c>
      <c r="O216" s="27">
        <v>4</v>
      </c>
      <c r="P216" s="5">
        <v>44.476800000000026</v>
      </c>
      <c r="Q216" s="5">
        <v>111.19199999999999</v>
      </c>
    </row>
    <row r="217" spans="1:17">
      <c r="A217" s="1">
        <v>207</v>
      </c>
      <c r="B217" s="1" t="s">
        <v>469</v>
      </c>
      <c r="C217" s="1">
        <v>135860</v>
      </c>
      <c r="D217" s="7">
        <v>43076</v>
      </c>
      <c r="E217" s="1" t="s">
        <v>470</v>
      </c>
      <c r="F217" s="1" t="s">
        <v>471</v>
      </c>
      <c r="G217" s="1" t="s">
        <v>144</v>
      </c>
      <c r="H217" s="1" t="s">
        <v>471</v>
      </c>
      <c r="I217" s="1" t="s">
        <v>71</v>
      </c>
      <c r="J217" s="1" t="s">
        <v>471</v>
      </c>
      <c r="K217" s="1" t="s">
        <v>35</v>
      </c>
      <c r="L217" s="1" t="s">
        <v>471</v>
      </c>
      <c r="M217" s="1" t="s">
        <v>43</v>
      </c>
      <c r="N217" s="5">
        <v>83.92</v>
      </c>
      <c r="O217" s="27">
        <v>4</v>
      </c>
      <c r="P217" s="5">
        <v>5.8743999999999943</v>
      </c>
      <c r="Q217" s="5">
        <v>20.98</v>
      </c>
    </row>
    <row r="218" spans="1:17">
      <c r="A218" s="1">
        <v>208</v>
      </c>
      <c r="B218" s="1" t="s">
        <v>469</v>
      </c>
      <c r="C218" s="1">
        <v>135860</v>
      </c>
      <c r="D218" s="7">
        <v>43076</v>
      </c>
      <c r="E218" s="1" t="s">
        <v>470</v>
      </c>
      <c r="F218" s="1" t="s">
        <v>472</v>
      </c>
      <c r="G218" s="1" t="s">
        <v>144</v>
      </c>
      <c r="H218" s="1" t="s">
        <v>472</v>
      </c>
      <c r="I218" s="1" t="s">
        <v>71</v>
      </c>
      <c r="J218" s="1" t="s">
        <v>472</v>
      </c>
      <c r="K218" s="1" t="s">
        <v>51</v>
      </c>
      <c r="L218" s="1" t="s">
        <v>472</v>
      </c>
      <c r="M218" s="1" t="s">
        <v>52</v>
      </c>
      <c r="N218" s="5">
        <v>131.97999999999999</v>
      </c>
      <c r="O218" s="27">
        <v>2</v>
      </c>
      <c r="P218" s="5">
        <v>35.634600000000006</v>
      </c>
      <c r="Q218" s="5">
        <v>65.989999999999995</v>
      </c>
    </row>
    <row r="219" spans="1:17">
      <c r="A219" s="1">
        <v>209</v>
      </c>
      <c r="B219" s="1" t="s">
        <v>469</v>
      </c>
      <c r="C219" s="1">
        <v>135860</v>
      </c>
      <c r="D219" s="7">
        <v>43076</v>
      </c>
      <c r="E219" s="1" t="s">
        <v>470</v>
      </c>
      <c r="F219" s="1" t="s">
        <v>313</v>
      </c>
      <c r="G219" s="1" t="s">
        <v>144</v>
      </c>
      <c r="H219" s="1" t="s">
        <v>313</v>
      </c>
      <c r="I219" s="1" t="s">
        <v>71</v>
      </c>
      <c r="J219" s="1" t="s">
        <v>313</v>
      </c>
      <c r="K219" s="1" t="s">
        <v>35</v>
      </c>
      <c r="L219" s="1" t="s">
        <v>313</v>
      </c>
      <c r="M219" s="1" t="s">
        <v>54</v>
      </c>
      <c r="N219" s="5">
        <v>15.92</v>
      </c>
      <c r="O219" s="27">
        <v>4</v>
      </c>
      <c r="P219" s="5">
        <v>7.4824000000000002</v>
      </c>
      <c r="Q219" s="5">
        <v>3.98</v>
      </c>
    </row>
    <row r="220" spans="1:17">
      <c r="A220" s="1">
        <v>210</v>
      </c>
      <c r="B220" s="1" t="s">
        <v>469</v>
      </c>
      <c r="C220" s="1">
        <v>135860</v>
      </c>
      <c r="D220" s="7">
        <v>43076</v>
      </c>
      <c r="E220" s="1" t="s">
        <v>470</v>
      </c>
      <c r="F220" s="1" t="s">
        <v>473</v>
      </c>
      <c r="G220" s="1" t="s">
        <v>144</v>
      </c>
      <c r="H220" s="1" t="s">
        <v>473</v>
      </c>
      <c r="I220" s="1" t="s">
        <v>71</v>
      </c>
      <c r="J220" s="1" t="s">
        <v>473</v>
      </c>
      <c r="K220" s="1" t="s">
        <v>35</v>
      </c>
      <c r="L220" s="1" t="s">
        <v>473</v>
      </c>
      <c r="M220" s="1" t="s">
        <v>163</v>
      </c>
      <c r="N220" s="5">
        <v>52.29</v>
      </c>
      <c r="O220" s="27">
        <v>9</v>
      </c>
      <c r="P220" s="5">
        <v>16.209899999999998</v>
      </c>
      <c r="Q220" s="5">
        <v>5.81</v>
      </c>
    </row>
    <row r="221" spans="1:17">
      <c r="A221" s="1">
        <v>211</v>
      </c>
      <c r="B221" s="1" t="s">
        <v>469</v>
      </c>
      <c r="C221" s="1">
        <v>135860</v>
      </c>
      <c r="D221" s="7">
        <v>43076</v>
      </c>
      <c r="E221" s="1" t="s">
        <v>470</v>
      </c>
      <c r="F221" s="1" t="s">
        <v>474</v>
      </c>
      <c r="G221" s="1" t="s">
        <v>144</v>
      </c>
      <c r="H221" s="1" t="s">
        <v>474</v>
      </c>
      <c r="I221" s="1" t="s">
        <v>71</v>
      </c>
      <c r="J221" s="1" t="s">
        <v>474</v>
      </c>
      <c r="K221" s="1" t="s">
        <v>35</v>
      </c>
      <c r="L221" s="1" t="s">
        <v>474</v>
      </c>
      <c r="M221" s="1" t="s">
        <v>43</v>
      </c>
      <c r="N221" s="5">
        <v>91.99</v>
      </c>
      <c r="O221" s="27">
        <v>1</v>
      </c>
      <c r="P221" s="5">
        <v>3.6795999999999935</v>
      </c>
      <c r="Q221" s="5">
        <v>91.99</v>
      </c>
    </row>
    <row r="222" spans="1:17">
      <c r="A222" s="1">
        <v>212</v>
      </c>
      <c r="B222" s="1" t="s">
        <v>475</v>
      </c>
      <c r="C222" s="1">
        <v>101007</v>
      </c>
      <c r="D222" s="7">
        <v>42048</v>
      </c>
      <c r="E222" s="1" t="s">
        <v>476</v>
      </c>
      <c r="F222" s="1" t="s">
        <v>477</v>
      </c>
      <c r="G222" s="1" t="s">
        <v>70</v>
      </c>
      <c r="H222" s="1" t="s">
        <v>477</v>
      </c>
      <c r="I222" s="1" t="s">
        <v>71</v>
      </c>
      <c r="J222" s="1" t="s">
        <v>477</v>
      </c>
      <c r="K222" s="1" t="s">
        <v>51</v>
      </c>
      <c r="L222" s="1" t="s">
        <v>477</v>
      </c>
      <c r="M222" s="1" t="s">
        <v>103</v>
      </c>
      <c r="N222" s="5">
        <v>20.8</v>
      </c>
      <c r="O222" s="27">
        <v>2</v>
      </c>
      <c r="P222" s="5">
        <v>6.4999999999999991</v>
      </c>
      <c r="Q222" s="5">
        <v>10.4</v>
      </c>
    </row>
    <row r="223" spans="1:17">
      <c r="A223" s="1">
        <v>213</v>
      </c>
      <c r="B223" s="1" t="s">
        <v>478</v>
      </c>
      <c r="C223" s="1">
        <v>146262</v>
      </c>
      <c r="D223" s="7">
        <v>42013</v>
      </c>
      <c r="E223" s="1" t="s">
        <v>479</v>
      </c>
      <c r="F223" s="1" t="s">
        <v>480</v>
      </c>
      <c r="G223" s="1" t="s">
        <v>288</v>
      </c>
      <c r="H223" s="1" t="s">
        <v>480</v>
      </c>
      <c r="I223" s="1" t="s">
        <v>95</v>
      </c>
      <c r="J223" s="1" t="s">
        <v>480</v>
      </c>
      <c r="K223" s="1" t="s">
        <v>35</v>
      </c>
      <c r="L223" s="1" t="s">
        <v>480</v>
      </c>
      <c r="M223" s="1" t="s">
        <v>36</v>
      </c>
      <c r="N223" s="5">
        <v>23.680000000000003</v>
      </c>
      <c r="O223" s="27">
        <v>2</v>
      </c>
      <c r="P223" s="5">
        <v>8.879999999999999</v>
      </c>
      <c r="Q223" s="5">
        <v>11.84</v>
      </c>
    </row>
    <row r="224" spans="1:17">
      <c r="A224" s="1">
        <v>214</v>
      </c>
      <c r="B224" s="1" t="s">
        <v>478</v>
      </c>
      <c r="C224" s="1">
        <v>146262</v>
      </c>
      <c r="D224" s="7">
        <v>42013</v>
      </c>
      <c r="E224" s="1" t="s">
        <v>479</v>
      </c>
      <c r="F224" s="1" t="s">
        <v>481</v>
      </c>
      <c r="G224" s="1" t="s">
        <v>288</v>
      </c>
      <c r="H224" s="1" t="s">
        <v>481</v>
      </c>
      <c r="I224" s="1" t="s">
        <v>95</v>
      </c>
      <c r="J224" s="1" t="s">
        <v>481</v>
      </c>
      <c r="K224" s="1" t="s">
        <v>26</v>
      </c>
      <c r="L224" s="1" t="s">
        <v>481</v>
      </c>
      <c r="M224" s="1" t="s">
        <v>27</v>
      </c>
      <c r="N224" s="5">
        <v>452.45</v>
      </c>
      <c r="O224" s="27">
        <v>5</v>
      </c>
      <c r="P224" s="5">
        <v>-244.32300000000006</v>
      </c>
      <c r="Q224" s="5">
        <v>90.49</v>
      </c>
    </row>
    <row r="225" spans="1:17">
      <c r="A225" s="1">
        <v>215</v>
      </c>
      <c r="B225" s="1" t="s">
        <v>478</v>
      </c>
      <c r="C225" s="1">
        <v>146262</v>
      </c>
      <c r="D225" s="7">
        <v>42013</v>
      </c>
      <c r="E225" s="1" t="s">
        <v>479</v>
      </c>
      <c r="F225" s="1" t="s">
        <v>273</v>
      </c>
      <c r="G225" s="1" t="s">
        <v>288</v>
      </c>
      <c r="H225" s="1" t="s">
        <v>273</v>
      </c>
      <c r="I225" s="1" t="s">
        <v>95</v>
      </c>
      <c r="J225" s="1" t="s">
        <v>273</v>
      </c>
      <c r="K225" s="1" t="s">
        <v>51</v>
      </c>
      <c r="L225" s="1" t="s">
        <v>273</v>
      </c>
      <c r="M225" s="1" t="s">
        <v>52</v>
      </c>
      <c r="N225" s="5">
        <v>62.981999999999999</v>
      </c>
      <c r="O225" s="27">
        <v>3</v>
      </c>
      <c r="P225" s="5">
        <v>-14.695800000000006</v>
      </c>
      <c r="Q225" s="5">
        <v>20.994</v>
      </c>
    </row>
    <row r="226" spans="1:17">
      <c r="A226" s="1">
        <v>216</v>
      </c>
      <c r="B226" s="1" t="s">
        <v>478</v>
      </c>
      <c r="C226" s="1">
        <v>146262</v>
      </c>
      <c r="D226" s="7">
        <v>42013</v>
      </c>
      <c r="E226" s="1" t="s">
        <v>479</v>
      </c>
      <c r="F226" s="1" t="s">
        <v>482</v>
      </c>
      <c r="G226" s="1" t="s">
        <v>288</v>
      </c>
      <c r="H226" s="1" t="s">
        <v>482</v>
      </c>
      <c r="I226" s="1" t="s">
        <v>95</v>
      </c>
      <c r="J226" s="1" t="s">
        <v>482</v>
      </c>
      <c r="K226" s="1" t="s">
        <v>51</v>
      </c>
      <c r="L226" s="1" t="s">
        <v>482</v>
      </c>
      <c r="M226" s="1" t="s">
        <v>389</v>
      </c>
      <c r="N226" s="5">
        <v>1188.0000000000002</v>
      </c>
      <c r="O226" s="27">
        <v>9</v>
      </c>
      <c r="P226" s="5">
        <v>-950.40000000000009</v>
      </c>
      <c r="Q226" s="5" t="s">
        <v>483</v>
      </c>
    </row>
    <row r="227" spans="1:17">
      <c r="A227" s="1">
        <v>217</v>
      </c>
      <c r="B227" s="1" t="s">
        <v>478</v>
      </c>
      <c r="C227" s="1">
        <v>146262</v>
      </c>
      <c r="D227" s="7">
        <v>42013</v>
      </c>
      <c r="E227" s="1" t="s">
        <v>479</v>
      </c>
      <c r="F227" s="1" t="s">
        <v>484</v>
      </c>
      <c r="G227" s="1" t="s">
        <v>288</v>
      </c>
      <c r="H227" s="1" t="s">
        <v>484</v>
      </c>
      <c r="I227" s="1" t="s">
        <v>95</v>
      </c>
      <c r="J227" s="1" t="s">
        <v>484</v>
      </c>
      <c r="K227" s="1" t="s">
        <v>51</v>
      </c>
      <c r="L227" s="1" t="s">
        <v>484</v>
      </c>
      <c r="M227" s="1" t="s">
        <v>103</v>
      </c>
      <c r="N227" s="5">
        <v>89.584000000000003</v>
      </c>
      <c r="O227" s="27">
        <v>2</v>
      </c>
      <c r="P227" s="5">
        <v>4.4792000000000058</v>
      </c>
      <c r="Q227" s="5">
        <v>44.792000000000002</v>
      </c>
    </row>
    <row r="228" spans="1:17">
      <c r="A228" s="1">
        <v>218</v>
      </c>
      <c r="B228" s="1" t="s">
        <v>485</v>
      </c>
      <c r="C228" s="1">
        <v>130162</v>
      </c>
      <c r="D228" s="7">
        <v>42675</v>
      </c>
      <c r="E228" s="1" t="s">
        <v>486</v>
      </c>
      <c r="F228" s="1" t="s">
        <v>432</v>
      </c>
      <c r="G228" s="1" t="s">
        <v>32</v>
      </c>
      <c r="H228" s="1" t="s">
        <v>432</v>
      </c>
      <c r="I228" s="1" t="s">
        <v>33</v>
      </c>
      <c r="J228" s="1" t="s">
        <v>432</v>
      </c>
      <c r="K228" s="1" t="s">
        <v>35</v>
      </c>
      <c r="L228" s="1" t="s">
        <v>432</v>
      </c>
      <c r="M228" s="1" t="s">
        <v>43</v>
      </c>
      <c r="N228" s="5">
        <v>93.06</v>
      </c>
      <c r="O228" s="27">
        <v>6</v>
      </c>
      <c r="P228" s="5">
        <v>26.056800000000003</v>
      </c>
      <c r="Q228" s="5">
        <v>15.51</v>
      </c>
    </row>
    <row r="229" spans="1:17">
      <c r="A229" s="1">
        <v>219</v>
      </c>
      <c r="B229" s="1" t="s">
        <v>485</v>
      </c>
      <c r="C229" s="1">
        <v>130162</v>
      </c>
      <c r="D229" s="7">
        <v>42675</v>
      </c>
      <c r="E229" s="1" t="s">
        <v>486</v>
      </c>
      <c r="F229" s="1" t="s">
        <v>487</v>
      </c>
      <c r="G229" s="1" t="s">
        <v>32</v>
      </c>
      <c r="H229" s="1" t="s">
        <v>487</v>
      </c>
      <c r="I229" s="1" t="s">
        <v>33</v>
      </c>
      <c r="J229" s="1" t="s">
        <v>487</v>
      </c>
      <c r="K229" s="1" t="s">
        <v>51</v>
      </c>
      <c r="L229" s="1" t="s">
        <v>487</v>
      </c>
      <c r="M229" s="1" t="s">
        <v>52</v>
      </c>
      <c r="N229" s="5">
        <v>302.37599999999998</v>
      </c>
      <c r="O229" s="27">
        <v>3</v>
      </c>
      <c r="P229" s="5">
        <v>22.678200000000018</v>
      </c>
      <c r="Q229" s="5">
        <v>100.792</v>
      </c>
    </row>
    <row r="230" spans="1:17">
      <c r="A230" s="1">
        <v>220</v>
      </c>
      <c r="B230" s="1" t="s">
        <v>488</v>
      </c>
      <c r="C230" s="1">
        <v>169397</v>
      </c>
      <c r="D230" s="7">
        <v>42365</v>
      </c>
      <c r="E230" s="1" t="s">
        <v>489</v>
      </c>
      <c r="F230" s="1" t="s">
        <v>490</v>
      </c>
      <c r="G230" s="1" t="s">
        <v>288</v>
      </c>
      <c r="H230" s="1" t="s">
        <v>490</v>
      </c>
      <c r="I230" s="1" t="s">
        <v>95</v>
      </c>
      <c r="J230" s="1" t="s">
        <v>490</v>
      </c>
      <c r="K230" s="1" t="s">
        <v>35</v>
      </c>
      <c r="L230" s="1" t="s">
        <v>490</v>
      </c>
      <c r="M230" s="1" t="s">
        <v>163</v>
      </c>
      <c r="N230" s="5">
        <v>5.5840000000000005</v>
      </c>
      <c r="O230" s="27">
        <v>2</v>
      </c>
      <c r="P230" s="5">
        <v>1.8147999999999997</v>
      </c>
      <c r="Q230" s="5">
        <v>2.7919999999999998</v>
      </c>
    </row>
    <row r="231" spans="1:17">
      <c r="A231" s="1">
        <v>221</v>
      </c>
      <c r="B231" s="1" t="s">
        <v>488</v>
      </c>
      <c r="C231" s="1">
        <v>169397</v>
      </c>
      <c r="D231" s="7">
        <v>42365</v>
      </c>
      <c r="E231" s="1" t="s">
        <v>489</v>
      </c>
      <c r="F231" s="1" t="s">
        <v>491</v>
      </c>
      <c r="G231" s="1" t="s">
        <v>288</v>
      </c>
      <c r="H231" s="1" t="s">
        <v>491</v>
      </c>
      <c r="I231" s="1" t="s">
        <v>95</v>
      </c>
      <c r="J231" s="1" t="s">
        <v>491</v>
      </c>
      <c r="K231" s="1" t="s">
        <v>35</v>
      </c>
      <c r="L231" s="1" t="s">
        <v>491</v>
      </c>
      <c r="M231" s="1" t="s">
        <v>63</v>
      </c>
      <c r="N231" s="5">
        <v>22.704000000000004</v>
      </c>
      <c r="O231" s="27">
        <v>6</v>
      </c>
      <c r="P231" s="5">
        <v>8.2302</v>
      </c>
      <c r="Q231" s="5">
        <v>3.7839999999999998</v>
      </c>
    </row>
    <row r="232" spans="1:17">
      <c r="A232" s="1">
        <v>222</v>
      </c>
      <c r="B232" s="1" t="s">
        <v>488</v>
      </c>
      <c r="C232" s="1">
        <v>169397</v>
      </c>
      <c r="D232" s="7">
        <v>42365</v>
      </c>
      <c r="E232" s="1" t="s">
        <v>489</v>
      </c>
      <c r="F232" s="1" t="s">
        <v>242</v>
      </c>
      <c r="G232" s="1" t="s">
        <v>288</v>
      </c>
      <c r="H232" s="1" t="s">
        <v>242</v>
      </c>
      <c r="I232" s="1" t="s">
        <v>95</v>
      </c>
      <c r="J232" s="1" t="s">
        <v>242</v>
      </c>
      <c r="K232" s="1" t="s">
        <v>35</v>
      </c>
      <c r="L232" s="1" t="s">
        <v>242</v>
      </c>
      <c r="M232" s="1" t="s">
        <v>54</v>
      </c>
      <c r="N232" s="5">
        <v>19.776000000000003</v>
      </c>
      <c r="O232" s="27">
        <v>4</v>
      </c>
      <c r="P232" s="5">
        <v>-13.843199999999996</v>
      </c>
      <c r="Q232" s="5">
        <v>4.944</v>
      </c>
    </row>
    <row r="233" spans="1:17">
      <c r="A233" s="1">
        <v>223</v>
      </c>
      <c r="B233" s="1" t="s">
        <v>488</v>
      </c>
      <c r="C233" s="1">
        <v>169397</v>
      </c>
      <c r="D233" s="7">
        <v>42365</v>
      </c>
      <c r="E233" s="1" t="s">
        <v>489</v>
      </c>
      <c r="F233" s="1" t="s">
        <v>492</v>
      </c>
      <c r="G233" s="1" t="s">
        <v>288</v>
      </c>
      <c r="H233" s="1" t="s">
        <v>492</v>
      </c>
      <c r="I233" s="1" t="s">
        <v>95</v>
      </c>
      <c r="J233" s="1" t="s">
        <v>492</v>
      </c>
      <c r="K233" s="1" t="s">
        <v>26</v>
      </c>
      <c r="L233" s="1" t="s">
        <v>492</v>
      </c>
      <c r="M233" s="1" t="s">
        <v>47</v>
      </c>
      <c r="N233" s="5">
        <v>72.703999999999994</v>
      </c>
      <c r="O233" s="27">
        <v>4</v>
      </c>
      <c r="P233" s="5">
        <v>19.084800000000005</v>
      </c>
      <c r="Q233" s="5">
        <v>18.175999999999998</v>
      </c>
    </row>
    <row r="234" spans="1:17">
      <c r="A234" s="1">
        <v>224</v>
      </c>
      <c r="B234" s="1" t="s">
        <v>488</v>
      </c>
      <c r="C234" s="1">
        <v>169397</v>
      </c>
      <c r="D234" s="7">
        <v>42365</v>
      </c>
      <c r="E234" s="1" t="s">
        <v>489</v>
      </c>
      <c r="F234" s="1" t="s">
        <v>493</v>
      </c>
      <c r="G234" s="1" t="s">
        <v>288</v>
      </c>
      <c r="H234" s="1" t="s">
        <v>493</v>
      </c>
      <c r="I234" s="1" t="s">
        <v>95</v>
      </c>
      <c r="J234" s="1" t="s">
        <v>493</v>
      </c>
      <c r="K234" s="1" t="s">
        <v>51</v>
      </c>
      <c r="L234" s="1" t="s">
        <v>493</v>
      </c>
      <c r="M234" s="1" t="s">
        <v>389</v>
      </c>
      <c r="N234" s="5">
        <v>479.98800000000006</v>
      </c>
      <c r="O234" s="27">
        <v>4</v>
      </c>
      <c r="P234" s="5">
        <v>-383.99040000000002</v>
      </c>
      <c r="Q234" s="5">
        <v>119.997</v>
      </c>
    </row>
    <row r="235" spans="1:17">
      <c r="A235" s="1">
        <v>225</v>
      </c>
      <c r="B235" s="1" t="s">
        <v>488</v>
      </c>
      <c r="C235" s="1">
        <v>169397</v>
      </c>
      <c r="D235" s="7">
        <v>42365</v>
      </c>
      <c r="E235" s="1" t="s">
        <v>489</v>
      </c>
      <c r="F235" s="1" t="s">
        <v>494</v>
      </c>
      <c r="G235" s="1" t="s">
        <v>288</v>
      </c>
      <c r="H235" s="1" t="s">
        <v>494</v>
      </c>
      <c r="I235" s="1" t="s">
        <v>95</v>
      </c>
      <c r="J235" s="1" t="s">
        <v>494</v>
      </c>
      <c r="K235" s="1" t="s">
        <v>35</v>
      </c>
      <c r="L235" s="1" t="s">
        <v>494</v>
      </c>
      <c r="M235" s="1" t="s">
        <v>49</v>
      </c>
      <c r="N235" s="5">
        <v>27.168000000000003</v>
      </c>
      <c r="O235" s="27">
        <v>2</v>
      </c>
      <c r="P235" s="5">
        <v>2.7168000000000001</v>
      </c>
      <c r="Q235" s="5">
        <v>13.584</v>
      </c>
    </row>
    <row r="236" spans="1:17">
      <c r="A236" s="1">
        <v>226</v>
      </c>
      <c r="B236" s="1" t="s">
        <v>495</v>
      </c>
      <c r="C236" s="1">
        <v>163055</v>
      </c>
      <c r="D236" s="7">
        <v>42232</v>
      </c>
      <c r="E236" s="1" t="s">
        <v>496</v>
      </c>
      <c r="F236" s="1" t="s">
        <v>497</v>
      </c>
      <c r="G236" s="1" t="s">
        <v>144</v>
      </c>
      <c r="H236" s="1" t="s">
        <v>497</v>
      </c>
      <c r="I236" s="1" t="s">
        <v>71</v>
      </c>
      <c r="J236" s="1" t="s">
        <v>497</v>
      </c>
      <c r="K236" s="1" t="s">
        <v>35</v>
      </c>
      <c r="L236" s="1" t="s">
        <v>497</v>
      </c>
      <c r="M236" s="1" t="s">
        <v>49</v>
      </c>
      <c r="N236" s="5">
        <v>2.2000000000000002</v>
      </c>
      <c r="O236" s="27">
        <v>1</v>
      </c>
      <c r="P236" s="5">
        <v>0.96800000000000019</v>
      </c>
      <c r="Q236" s="5">
        <v>2.2000000000000002</v>
      </c>
    </row>
    <row r="237" spans="1:17">
      <c r="A237" s="1">
        <v>227</v>
      </c>
      <c r="B237" s="1" t="s">
        <v>495</v>
      </c>
      <c r="C237" s="1">
        <v>163055</v>
      </c>
      <c r="D237" s="7">
        <v>42232</v>
      </c>
      <c r="E237" s="1" t="s">
        <v>496</v>
      </c>
      <c r="F237" s="1" t="s">
        <v>498</v>
      </c>
      <c r="G237" s="1" t="s">
        <v>144</v>
      </c>
      <c r="H237" s="1" t="s">
        <v>498</v>
      </c>
      <c r="I237" s="1" t="s">
        <v>71</v>
      </c>
      <c r="J237" s="1" t="s">
        <v>498</v>
      </c>
      <c r="K237" s="1" t="s">
        <v>26</v>
      </c>
      <c r="L237" s="1" t="s">
        <v>498</v>
      </c>
      <c r="M237" s="1" t="s">
        <v>41</v>
      </c>
      <c r="N237" s="5">
        <v>622.44999999999993</v>
      </c>
      <c r="O237" s="27">
        <v>5</v>
      </c>
      <c r="P237" s="5">
        <v>136.93899999999999</v>
      </c>
      <c r="Q237" s="5">
        <v>124.49</v>
      </c>
    </row>
    <row r="238" spans="1:17">
      <c r="A238" s="1">
        <v>228</v>
      </c>
      <c r="B238" s="1" t="s">
        <v>495</v>
      </c>
      <c r="C238" s="1">
        <v>163055</v>
      </c>
      <c r="D238" s="7">
        <v>42232</v>
      </c>
      <c r="E238" s="1" t="s">
        <v>496</v>
      </c>
      <c r="F238" s="1" t="s">
        <v>499</v>
      </c>
      <c r="G238" s="1" t="s">
        <v>144</v>
      </c>
      <c r="H238" s="1" t="s">
        <v>499</v>
      </c>
      <c r="I238" s="1" t="s">
        <v>71</v>
      </c>
      <c r="J238" s="1" t="s">
        <v>499</v>
      </c>
      <c r="K238" s="1" t="s">
        <v>35</v>
      </c>
      <c r="L238" s="1" t="s">
        <v>499</v>
      </c>
      <c r="M238" s="1" t="s">
        <v>43</v>
      </c>
      <c r="N238" s="5">
        <v>21.98</v>
      </c>
      <c r="O238" s="27">
        <v>1</v>
      </c>
      <c r="P238" s="5">
        <v>0.21979999999999933</v>
      </c>
      <c r="Q238" s="5">
        <v>21.98</v>
      </c>
    </row>
    <row r="239" spans="1:17">
      <c r="A239" s="1">
        <v>229</v>
      </c>
      <c r="B239" s="1" t="s">
        <v>500</v>
      </c>
      <c r="C239" s="1">
        <v>145436</v>
      </c>
      <c r="D239" s="7">
        <v>42067</v>
      </c>
      <c r="E239" s="1" t="s">
        <v>501</v>
      </c>
      <c r="F239" s="1" t="s">
        <v>502</v>
      </c>
      <c r="G239" s="1" t="s">
        <v>198</v>
      </c>
      <c r="H239" s="1" t="s">
        <v>502</v>
      </c>
      <c r="I239" s="1" t="s">
        <v>24</v>
      </c>
      <c r="J239" s="1" t="s">
        <v>502</v>
      </c>
      <c r="K239" s="1" t="s">
        <v>26</v>
      </c>
      <c r="L239" s="1" t="s">
        <v>502</v>
      </c>
      <c r="M239" s="1" t="s">
        <v>29</v>
      </c>
      <c r="N239" s="5">
        <v>161.56800000000001</v>
      </c>
      <c r="O239" s="27">
        <v>2</v>
      </c>
      <c r="P239" s="5">
        <v>-28.274400000000021</v>
      </c>
      <c r="Q239" s="5">
        <v>80.784000000000006</v>
      </c>
    </row>
    <row r="240" spans="1:17">
      <c r="A240" s="1">
        <v>230</v>
      </c>
      <c r="B240" s="1" t="s">
        <v>500</v>
      </c>
      <c r="C240" s="1">
        <v>145436</v>
      </c>
      <c r="D240" s="7">
        <v>42067</v>
      </c>
      <c r="E240" s="1" t="s">
        <v>501</v>
      </c>
      <c r="F240" s="1" t="s">
        <v>503</v>
      </c>
      <c r="G240" s="1" t="s">
        <v>198</v>
      </c>
      <c r="H240" s="1" t="s">
        <v>503</v>
      </c>
      <c r="I240" s="1" t="s">
        <v>24</v>
      </c>
      <c r="J240" s="1" t="s">
        <v>503</v>
      </c>
      <c r="K240" s="1" t="s">
        <v>26</v>
      </c>
      <c r="L240" s="1" t="s">
        <v>503</v>
      </c>
      <c r="M240" s="1" t="s">
        <v>29</v>
      </c>
      <c r="N240" s="5">
        <v>389.69600000000003</v>
      </c>
      <c r="O240" s="27">
        <v>8</v>
      </c>
      <c r="P240" s="5">
        <v>43.840799999999973</v>
      </c>
      <c r="Q240" s="5">
        <v>48.712000000000003</v>
      </c>
    </row>
    <row r="241" spans="1:17">
      <c r="A241" s="1">
        <v>231</v>
      </c>
      <c r="B241" s="1" t="s">
        <v>504</v>
      </c>
      <c r="C241" s="1">
        <v>156216</v>
      </c>
      <c r="D241" s="7">
        <v>41899</v>
      </c>
      <c r="E241" s="1" t="s">
        <v>505</v>
      </c>
      <c r="F241" s="1" t="s">
        <v>506</v>
      </c>
      <c r="G241" s="1" t="s">
        <v>61</v>
      </c>
      <c r="H241" s="1" t="s">
        <v>506</v>
      </c>
      <c r="I241" s="1" t="s">
        <v>24</v>
      </c>
      <c r="J241" s="1" t="s">
        <v>506</v>
      </c>
      <c r="K241" s="1" t="s">
        <v>35</v>
      </c>
      <c r="L241" s="1" t="s">
        <v>506</v>
      </c>
      <c r="M241" s="1" t="s">
        <v>54</v>
      </c>
      <c r="N241" s="5">
        <v>18.648000000000003</v>
      </c>
      <c r="O241" s="27">
        <v>7</v>
      </c>
      <c r="P241" s="5">
        <v>-12.431999999999999</v>
      </c>
      <c r="Q241" s="5">
        <v>2.6640000000000001</v>
      </c>
    </row>
    <row r="242" spans="1:17">
      <c r="A242" s="1">
        <v>232</v>
      </c>
      <c r="B242" s="1" t="s">
        <v>507</v>
      </c>
      <c r="C242" s="1">
        <v>100930</v>
      </c>
      <c r="D242" s="7">
        <v>42837</v>
      </c>
      <c r="E242" s="1" t="s">
        <v>222</v>
      </c>
      <c r="F242" s="1" t="s">
        <v>508</v>
      </c>
      <c r="G242" s="1" t="s">
        <v>39</v>
      </c>
      <c r="H242" s="1" t="s">
        <v>508</v>
      </c>
      <c r="I242" s="1" t="s">
        <v>24</v>
      </c>
      <c r="J242" s="1" t="s">
        <v>508</v>
      </c>
      <c r="K242" s="1" t="s">
        <v>26</v>
      </c>
      <c r="L242" s="1" t="s">
        <v>508</v>
      </c>
      <c r="M242" s="1" t="s">
        <v>41</v>
      </c>
      <c r="N242" s="5">
        <v>233.86</v>
      </c>
      <c r="O242" s="27">
        <v>2</v>
      </c>
      <c r="P242" s="5">
        <v>-102.04800000000003</v>
      </c>
      <c r="Q242" s="5">
        <v>116.93</v>
      </c>
    </row>
    <row r="243" spans="1:17">
      <c r="A243" s="1">
        <v>233</v>
      </c>
      <c r="B243" s="1" t="s">
        <v>507</v>
      </c>
      <c r="C243" s="1">
        <v>100930</v>
      </c>
      <c r="D243" s="7">
        <v>42837</v>
      </c>
      <c r="E243" s="1" t="s">
        <v>222</v>
      </c>
      <c r="F243" s="1" t="s">
        <v>509</v>
      </c>
      <c r="G243" s="1" t="s">
        <v>39</v>
      </c>
      <c r="H243" s="1" t="s">
        <v>509</v>
      </c>
      <c r="I243" s="1" t="s">
        <v>24</v>
      </c>
      <c r="J243" s="1" t="s">
        <v>509</v>
      </c>
      <c r="K243" s="1" t="s">
        <v>26</v>
      </c>
      <c r="L243" s="1" t="s">
        <v>509</v>
      </c>
      <c r="M243" s="1" t="s">
        <v>41</v>
      </c>
      <c r="N243" s="5">
        <v>620.61450000000013</v>
      </c>
      <c r="O243" s="27">
        <v>3</v>
      </c>
      <c r="P243" s="5">
        <v>-248.24579999999992</v>
      </c>
      <c r="Q243" s="5">
        <v>206.8715</v>
      </c>
    </row>
    <row r="244" spans="1:17">
      <c r="A244" s="1">
        <v>234</v>
      </c>
      <c r="B244" s="1" t="s">
        <v>507</v>
      </c>
      <c r="C244" s="1">
        <v>100930</v>
      </c>
      <c r="D244" s="7">
        <v>42837</v>
      </c>
      <c r="E244" s="1" t="s">
        <v>222</v>
      </c>
      <c r="F244" s="1" t="s">
        <v>506</v>
      </c>
      <c r="G244" s="1" t="s">
        <v>39</v>
      </c>
      <c r="H244" s="1" t="s">
        <v>506</v>
      </c>
      <c r="I244" s="1" t="s">
        <v>24</v>
      </c>
      <c r="J244" s="1" t="s">
        <v>506</v>
      </c>
      <c r="K244" s="1" t="s">
        <v>35</v>
      </c>
      <c r="L244" s="1" t="s">
        <v>506</v>
      </c>
      <c r="M244" s="1" t="s">
        <v>54</v>
      </c>
      <c r="N244" s="5">
        <v>5.3280000000000012</v>
      </c>
      <c r="O244" s="27">
        <v>2</v>
      </c>
      <c r="P244" s="5">
        <v>-3.5519999999999996</v>
      </c>
      <c r="Q244" s="5">
        <v>2.6640000000000001</v>
      </c>
    </row>
    <row r="245" spans="1:17">
      <c r="A245" s="1">
        <v>235</v>
      </c>
      <c r="B245" s="1" t="s">
        <v>507</v>
      </c>
      <c r="C245" s="1">
        <v>100930</v>
      </c>
      <c r="D245" s="7">
        <v>42837</v>
      </c>
      <c r="E245" s="1" t="s">
        <v>222</v>
      </c>
      <c r="F245" s="1" t="s">
        <v>510</v>
      </c>
      <c r="G245" s="1" t="s">
        <v>39</v>
      </c>
      <c r="H245" s="1" t="s">
        <v>510</v>
      </c>
      <c r="I245" s="1" t="s">
        <v>24</v>
      </c>
      <c r="J245" s="1" t="s">
        <v>510</v>
      </c>
      <c r="K245" s="1" t="s">
        <v>26</v>
      </c>
      <c r="L245" s="1" t="s">
        <v>510</v>
      </c>
      <c r="M245" s="1" t="s">
        <v>47</v>
      </c>
      <c r="N245" s="5">
        <v>258.072</v>
      </c>
      <c r="O245" s="27">
        <v>3</v>
      </c>
      <c r="P245" s="5">
        <v>0</v>
      </c>
      <c r="Q245" s="5">
        <v>86.024000000000001</v>
      </c>
    </row>
    <row r="246" spans="1:17">
      <c r="A246" s="1">
        <v>236</v>
      </c>
      <c r="B246" s="1" t="s">
        <v>507</v>
      </c>
      <c r="C246" s="1">
        <v>100930</v>
      </c>
      <c r="D246" s="7">
        <v>42837</v>
      </c>
      <c r="E246" s="1" t="s">
        <v>222</v>
      </c>
      <c r="F246" s="1" t="s">
        <v>511</v>
      </c>
      <c r="G246" s="1" t="s">
        <v>39</v>
      </c>
      <c r="H246" s="1" t="s">
        <v>511</v>
      </c>
      <c r="I246" s="1" t="s">
        <v>24</v>
      </c>
      <c r="J246" s="1" t="s">
        <v>511</v>
      </c>
      <c r="K246" s="1" t="s">
        <v>51</v>
      </c>
      <c r="L246" s="1" t="s">
        <v>511</v>
      </c>
      <c r="M246" s="1" t="s">
        <v>103</v>
      </c>
      <c r="N246" s="5">
        <v>617.97600000000011</v>
      </c>
      <c r="O246" s="27">
        <v>3</v>
      </c>
      <c r="P246" s="5">
        <v>-7.724700000000098</v>
      </c>
      <c r="Q246" s="5">
        <v>205.99199999999999</v>
      </c>
    </row>
    <row r="247" spans="1:17">
      <c r="A247" s="1">
        <v>237</v>
      </c>
      <c r="B247" s="1" t="s">
        <v>512</v>
      </c>
      <c r="C247" s="1">
        <v>160514</v>
      </c>
      <c r="D247" s="7">
        <v>43055</v>
      </c>
      <c r="E247" s="1" t="s">
        <v>513</v>
      </c>
      <c r="F247" s="1" t="s">
        <v>514</v>
      </c>
      <c r="G247" s="1" t="s">
        <v>32</v>
      </c>
      <c r="H247" s="1" t="s">
        <v>514</v>
      </c>
      <c r="I247" s="1" t="s">
        <v>33</v>
      </c>
      <c r="J247" s="1" t="s">
        <v>514</v>
      </c>
      <c r="K247" s="1" t="s">
        <v>35</v>
      </c>
      <c r="L247" s="1" t="s">
        <v>514</v>
      </c>
      <c r="M247" s="1" t="s">
        <v>63</v>
      </c>
      <c r="N247" s="5">
        <v>10.56</v>
      </c>
      <c r="O247" s="27">
        <v>2</v>
      </c>
      <c r="P247" s="5">
        <v>4.7519999999999998</v>
      </c>
      <c r="Q247" s="5">
        <v>5.28</v>
      </c>
    </row>
    <row r="248" spans="1:17">
      <c r="A248" s="1">
        <v>238</v>
      </c>
      <c r="B248" s="1" t="s">
        <v>515</v>
      </c>
      <c r="C248" s="1">
        <v>157749</v>
      </c>
      <c r="D248" s="7">
        <v>42530</v>
      </c>
      <c r="E248" s="1" t="s">
        <v>516</v>
      </c>
      <c r="F248" s="1" t="s">
        <v>517</v>
      </c>
      <c r="G248" s="1" t="s">
        <v>129</v>
      </c>
      <c r="H248" s="1" t="s">
        <v>517</v>
      </c>
      <c r="I248" s="1" t="s">
        <v>71</v>
      </c>
      <c r="J248" s="1" t="s">
        <v>517</v>
      </c>
      <c r="K248" s="1" t="s">
        <v>35</v>
      </c>
      <c r="L248" s="1" t="s">
        <v>517</v>
      </c>
      <c r="M248" s="1" t="s">
        <v>63</v>
      </c>
      <c r="N248" s="5">
        <v>25.920000000000005</v>
      </c>
      <c r="O248" s="27">
        <v>5</v>
      </c>
      <c r="P248" s="5">
        <v>9.3960000000000008</v>
      </c>
      <c r="Q248" s="5">
        <v>5.1840000000000002</v>
      </c>
    </row>
    <row r="249" spans="1:17">
      <c r="A249" s="1">
        <v>239</v>
      </c>
      <c r="B249" s="1" t="s">
        <v>515</v>
      </c>
      <c r="C249" s="1">
        <v>157749</v>
      </c>
      <c r="D249" s="7">
        <v>42530</v>
      </c>
      <c r="E249" s="1" t="s">
        <v>516</v>
      </c>
      <c r="F249" s="1" t="s">
        <v>518</v>
      </c>
      <c r="G249" s="1" t="s">
        <v>129</v>
      </c>
      <c r="H249" s="1" t="s">
        <v>518</v>
      </c>
      <c r="I249" s="1" t="s">
        <v>71</v>
      </c>
      <c r="J249" s="1" t="s">
        <v>518</v>
      </c>
      <c r="K249" s="1" t="s">
        <v>26</v>
      </c>
      <c r="L249" s="1" t="s">
        <v>518</v>
      </c>
      <c r="M249" s="1" t="s">
        <v>47</v>
      </c>
      <c r="N249" s="5">
        <v>419.68000000000006</v>
      </c>
      <c r="O249" s="27">
        <v>5</v>
      </c>
      <c r="P249" s="5">
        <v>-356.72799999999995</v>
      </c>
      <c r="Q249" s="5">
        <v>83.936000000000007</v>
      </c>
    </row>
    <row r="250" spans="1:17">
      <c r="A250" s="1">
        <v>240</v>
      </c>
      <c r="B250" s="1" t="s">
        <v>515</v>
      </c>
      <c r="C250" s="1">
        <v>157749</v>
      </c>
      <c r="D250" s="7">
        <v>42530</v>
      </c>
      <c r="E250" s="1" t="s">
        <v>516</v>
      </c>
      <c r="F250" s="1" t="s">
        <v>519</v>
      </c>
      <c r="G250" s="1" t="s">
        <v>129</v>
      </c>
      <c r="H250" s="1" t="s">
        <v>519</v>
      </c>
      <c r="I250" s="1" t="s">
        <v>71</v>
      </c>
      <c r="J250" s="1" t="s">
        <v>519</v>
      </c>
      <c r="K250" s="1" t="s">
        <v>26</v>
      </c>
      <c r="L250" s="1" t="s">
        <v>519</v>
      </c>
      <c r="M250" s="1" t="s">
        <v>47</v>
      </c>
      <c r="N250" s="5">
        <v>11.688000000000001</v>
      </c>
      <c r="O250" s="27">
        <v>3</v>
      </c>
      <c r="P250" s="5">
        <v>-4.6751999999999985</v>
      </c>
      <c r="Q250" s="5">
        <v>3.8959999999999999</v>
      </c>
    </row>
    <row r="251" spans="1:17">
      <c r="A251" s="1">
        <v>241</v>
      </c>
      <c r="B251" s="1" t="s">
        <v>515</v>
      </c>
      <c r="C251" s="1">
        <v>157749</v>
      </c>
      <c r="D251" s="7">
        <v>42530</v>
      </c>
      <c r="E251" s="1" t="s">
        <v>516</v>
      </c>
      <c r="F251" s="1" t="s">
        <v>520</v>
      </c>
      <c r="G251" s="1" t="s">
        <v>129</v>
      </c>
      <c r="H251" s="1" t="s">
        <v>520</v>
      </c>
      <c r="I251" s="1" t="s">
        <v>71</v>
      </c>
      <c r="J251" s="1" t="s">
        <v>520</v>
      </c>
      <c r="K251" s="1" t="s">
        <v>51</v>
      </c>
      <c r="L251" s="1" t="s">
        <v>520</v>
      </c>
      <c r="M251" s="1" t="s">
        <v>52</v>
      </c>
      <c r="N251" s="5">
        <v>31.983999999999998</v>
      </c>
      <c r="O251" s="27">
        <v>2</v>
      </c>
      <c r="P251" s="5">
        <v>11.194399999999998</v>
      </c>
      <c r="Q251" s="5">
        <v>15.992000000000001</v>
      </c>
    </row>
    <row r="252" spans="1:17">
      <c r="A252" s="1">
        <v>242</v>
      </c>
      <c r="B252" s="1" t="s">
        <v>515</v>
      </c>
      <c r="C252" s="1">
        <v>157749</v>
      </c>
      <c r="D252" s="7">
        <v>42530</v>
      </c>
      <c r="E252" s="1" t="s">
        <v>516</v>
      </c>
      <c r="F252" s="1" t="s">
        <v>521</v>
      </c>
      <c r="G252" s="1" t="s">
        <v>129</v>
      </c>
      <c r="H252" s="1" t="s">
        <v>521</v>
      </c>
      <c r="I252" s="1" t="s">
        <v>71</v>
      </c>
      <c r="J252" s="1" t="s">
        <v>521</v>
      </c>
      <c r="K252" s="1" t="s">
        <v>26</v>
      </c>
      <c r="L252" s="1" t="s">
        <v>521</v>
      </c>
      <c r="M252" s="1" t="s">
        <v>41</v>
      </c>
      <c r="N252" s="5">
        <v>177.22499999999999</v>
      </c>
      <c r="O252" s="27">
        <v>5</v>
      </c>
      <c r="P252" s="5">
        <v>-120.51299999999998</v>
      </c>
      <c r="Q252" s="5">
        <v>35.445</v>
      </c>
    </row>
    <row r="253" spans="1:17">
      <c r="A253" s="1">
        <v>243</v>
      </c>
      <c r="B253" s="1" t="s">
        <v>515</v>
      </c>
      <c r="C253" s="1">
        <v>157749</v>
      </c>
      <c r="D253" s="7">
        <v>42530</v>
      </c>
      <c r="E253" s="1" t="s">
        <v>516</v>
      </c>
      <c r="F253" s="1" t="s">
        <v>522</v>
      </c>
      <c r="G253" s="1" t="s">
        <v>129</v>
      </c>
      <c r="H253" s="1" t="s">
        <v>522</v>
      </c>
      <c r="I253" s="1" t="s">
        <v>71</v>
      </c>
      <c r="J253" s="1" t="s">
        <v>522</v>
      </c>
      <c r="K253" s="1" t="s">
        <v>26</v>
      </c>
      <c r="L253" s="1" t="s">
        <v>522</v>
      </c>
      <c r="M253" s="1" t="s">
        <v>47</v>
      </c>
      <c r="N253" s="5">
        <v>4.0440000000000005</v>
      </c>
      <c r="O253" s="27">
        <v>3</v>
      </c>
      <c r="P253" s="5">
        <v>-2.8307999999999995</v>
      </c>
      <c r="Q253" s="5">
        <v>1.3480000000000001</v>
      </c>
    </row>
    <row r="254" spans="1:17">
      <c r="A254" s="1">
        <v>244</v>
      </c>
      <c r="B254" s="1" t="s">
        <v>515</v>
      </c>
      <c r="C254" s="1">
        <v>157749</v>
      </c>
      <c r="D254" s="7">
        <v>42530</v>
      </c>
      <c r="E254" s="1" t="s">
        <v>516</v>
      </c>
      <c r="F254" s="1" t="s">
        <v>443</v>
      </c>
      <c r="G254" s="1" t="s">
        <v>129</v>
      </c>
      <c r="H254" s="1" t="s">
        <v>443</v>
      </c>
      <c r="I254" s="1" t="s">
        <v>71</v>
      </c>
      <c r="J254" s="1" t="s">
        <v>443</v>
      </c>
      <c r="K254" s="1" t="s">
        <v>35</v>
      </c>
      <c r="L254" s="1" t="s">
        <v>443</v>
      </c>
      <c r="M254" s="1" t="s">
        <v>49</v>
      </c>
      <c r="N254" s="5">
        <v>7.4080000000000004</v>
      </c>
      <c r="O254" s="27">
        <v>2</v>
      </c>
      <c r="P254" s="5">
        <v>1.2037999999999995</v>
      </c>
      <c r="Q254" s="5">
        <v>3.7040000000000002</v>
      </c>
    </row>
    <row r="255" spans="1:17">
      <c r="A255" s="1">
        <v>245</v>
      </c>
      <c r="B255" s="1" t="s">
        <v>523</v>
      </c>
      <c r="C255" s="1">
        <v>131926</v>
      </c>
      <c r="D255" s="7">
        <v>41796</v>
      </c>
      <c r="E255" s="1" t="s">
        <v>524</v>
      </c>
      <c r="F255" s="1" t="s">
        <v>307</v>
      </c>
      <c r="G255" s="1" t="s">
        <v>139</v>
      </c>
      <c r="H255" s="1" t="s">
        <v>307</v>
      </c>
      <c r="I255" s="1" t="s">
        <v>71</v>
      </c>
      <c r="J255" s="1" t="s">
        <v>307</v>
      </c>
      <c r="K255" s="1" t="s">
        <v>26</v>
      </c>
      <c r="L255" s="1" t="s">
        <v>307</v>
      </c>
      <c r="M255" s="1" t="s">
        <v>29</v>
      </c>
      <c r="N255" s="5">
        <v>2001.8600000000001</v>
      </c>
      <c r="O255" s="27">
        <v>7</v>
      </c>
      <c r="P255" s="5">
        <v>580.53939999999989</v>
      </c>
      <c r="Q255" s="5">
        <v>285.98</v>
      </c>
    </row>
    <row r="256" spans="1:17">
      <c r="A256" s="1">
        <v>246</v>
      </c>
      <c r="B256" s="1" t="s">
        <v>523</v>
      </c>
      <c r="C256" s="1">
        <v>131926</v>
      </c>
      <c r="D256" s="7">
        <v>41796</v>
      </c>
      <c r="E256" s="1" t="s">
        <v>524</v>
      </c>
      <c r="F256" s="1" t="s">
        <v>525</v>
      </c>
      <c r="G256" s="1" t="s">
        <v>139</v>
      </c>
      <c r="H256" s="1" t="s">
        <v>525</v>
      </c>
      <c r="I256" s="1" t="s">
        <v>71</v>
      </c>
      <c r="J256" s="1" t="s">
        <v>525</v>
      </c>
      <c r="K256" s="1" t="s">
        <v>35</v>
      </c>
      <c r="L256" s="1" t="s">
        <v>525</v>
      </c>
      <c r="M256" s="1" t="s">
        <v>43</v>
      </c>
      <c r="N256" s="5">
        <v>166.72</v>
      </c>
      <c r="O256" s="27">
        <v>2</v>
      </c>
      <c r="P256" s="5">
        <v>41.680000000000007</v>
      </c>
      <c r="Q256" s="5">
        <v>83.36</v>
      </c>
    </row>
    <row r="257" spans="1:17">
      <c r="A257" s="1">
        <v>247</v>
      </c>
      <c r="B257" s="1" t="s">
        <v>523</v>
      </c>
      <c r="C257" s="1">
        <v>131926</v>
      </c>
      <c r="D257" s="7">
        <v>41796</v>
      </c>
      <c r="E257" s="1" t="s">
        <v>524</v>
      </c>
      <c r="F257" s="1" t="s">
        <v>526</v>
      </c>
      <c r="G257" s="1" t="s">
        <v>139</v>
      </c>
      <c r="H257" s="1" t="s">
        <v>526</v>
      </c>
      <c r="I257" s="1" t="s">
        <v>71</v>
      </c>
      <c r="J257" s="1" t="s">
        <v>526</v>
      </c>
      <c r="K257" s="1" t="s">
        <v>35</v>
      </c>
      <c r="L257" s="1" t="s">
        <v>526</v>
      </c>
      <c r="M257" s="1" t="s">
        <v>63</v>
      </c>
      <c r="N257" s="5">
        <v>47.88</v>
      </c>
      <c r="O257" s="27">
        <v>6</v>
      </c>
      <c r="P257" s="5">
        <v>23.94</v>
      </c>
      <c r="Q257" s="5">
        <v>7.98</v>
      </c>
    </row>
    <row r="258" spans="1:17">
      <c r="A258" s="1">
        <v>248</v>
      </c>
      <c r="B258" s="1" t="s">
        <v>523</v>
      </c>
      <c r="C258" s="1">
        <v>131926</v>
      </c>
      <c r="D258" s="7">
        <v>41796</v>
      </c>
      <c r="E258" s="1" t="s">
        <v>524</v>
      </c>
      <c r="F258" s="1" t="s">
        <v>527</v>
      </c>
      <c r="G258" s="1" t="s">
        <v>139</v>
      </c>
      <c r="H258" s="1" t="s">
        <v>527</v>
      </c>
      <c r="I258" s="1" t="s">
        <v>71</v>
      </c>
      <c r="J258" s="1" t="s">
        <v>527</v>
      </c>
      <c r="K258" s="1" t="s">
        <v>35</v>
      </c>
      <c r="L258" s="1" t="s">
        <v>527</v>
      </c>
      <c r="M258" s="1" t="s">
        <v>56</v>
      </c>
      <c r="N258" s="5">
        <v>1503.25</v>
      </c>
      <c r="O258" s="27">
        <v>5</v>
      </c>
      <c r="P258" s="5">
        <v>496.07249999999993</v>
      </c>
      <c r="Q258" s="5">
        <v>300.64999999999998</v>
      </c>
    </row>
    <row r="259" spans="1:17">
      <c r="A259" s="1">
        <v>249</v>
      </c>
      <c r="B259" s="1" t="s">
        <v>523</v>
      </c>
      <c r="C259" s="1">
        <v>131926</v>
      </c>
      <c r="D259" s="7">
        <v>41796</v>
      </c>
      <c r="E259" s="1" t="s">
        <v>524</v>
      </c>
      <c r="F259" s="1" t="s">
        <v>437</v>
      </c>
      <c r="G259" s="1" t="s">
        <v>139</v>
      </c>
      <c r="H259" s="1" t="s">
        <v>437</v>
      </c>
      <c r="I259" s="1" t="s">
        <v>71</v>
      </c>
      <c r="J259" s="1" t="s">
        <v>437</v>
      </c>
      <c r="K259" s="1" t="s">
        <v>35</v>
      </c>
      <c r="L259" s="1" t="s">
        <v>437</v>
      </c>
      <c r="M259" s="1" t="s">
        <v>63</v>
      </c>
      <c r="N259" s="5">
        <v>25.92</v>
      </c>
      <c r="O259" s="27">
        <v>4</v>
      </c>
      <c r="P259" s="5">
        <v>12.441600000000001</v>
      </c>
      <c r="Q259" s="5">
        <v>6.48</v>
      </c>
    </row>
    <row r="260" spans="1:17">
      <c r="A260" s="1">
        <v>250</v>
      </c>
      <c r="B260" s="1" t="s">
        <v>528</v>
      </c>
      <c r="C260" s="1">
        <v>154739</v>
      </c>
      <c r="D260" s="7">
        <v>42719</v>
      </c>
      <c r="E260" s="1" t="s">
        <v>529</v>
      </c>
      <c r="F260" s="1" t="s">
        <v>530</v>
      </c>
      <c r="G260" s="1" t="s">
        <v>32</v>
      </c>
      <c r="H260" s="1" t="s">
        <v>530</v>
      </c>
      <c r="I260" s="1" t="s">
        <v>33</v>
      </c>
      <c r="J260" s="1" t="s">
        <v>530</v>
      </c>
      <c r="K260" s="1" t="s">
        <v>26</v>
      </c>
      <c r="L260" s="1" t="s">
        <v>530</v>
      </c>
      <c r="M260" s="1" t="s">
        <v>29</v>
      </c>
      <c r="N260" s="5">
        <v>321.56799999999998</v>
      </c>
      <c r="O260" s="27">
        <v>2</v>
      </c>
      <c r="P260" s="5">
        <v>28.137200000000007</v>
      </c>
      <c r="Q260" s="5">
        <v>160.78399999999999</v>
      </c>
    </row>
    <row r="261" spans="1:17">
      <c r="A261" s="1">
        <v>251</v>
      </c>
      <c r="B261" s="1" t="s">
        <v>531</v>
      </c>
      <c r="C261" s="1">
        <v>145625</v>
      </c>
      <c r="D261" s="7">
        <v>42630</v>
      </c>
      <c r="E261" s="1" t="s">
        <v>532</v>
      </c>
      <c r="F261" s="1" t="s">
        <v>533</v>
      </c>
      <c r="G261" s="1" t="s">
        <v>32</v>
      </c>
      <c r="H261" s="1" t="s">
        <v>533</v>
      </c>
      <c r="I261" s="1" t="s">
        <v>33</v>
      </c>
      <c r="J261" s="1" t="s">
        <v>533</v>
      </c>
      <c r="K261" s="1" t="s">
        <v>35</v>
      </c>
      <c r="L261" s="1" t="s">
        <v>533</v>
      </c>
      <c r="M261" s="1" t="s">
        <v>63</v>
      </c>
      <c r="N261" s="5">
        <v>7.61</v>
      </c>
      <c r="O261" s="27">
        <v>1</v>
      </c>
      <c r="P261" s="5">
        <v>3.5766999999999998</v>
      </c>
      <c r="Q261" s="5">
        <v>7.61</v>
      </c>
    </row>
    <row r="262" spans="1:17">
      <c r="A262" s="1">
        <v>252</v>
      </c>
      <c r="B262" s="1" t="s">
        <v>531</v>
      </c>
      <c r="C262" s="1">
        <v>145625</v>
      </c>
      <c r="D262" s="7">
        <v>42630</v>
      </c>
      <c r="E262" s="1" t="s">
        <v>532</v>
      </c>
      <c r="F262" s="1" t="s">
        <v>511</v>
      </c>
      <c r="G262" s="1" t="s">
        <v>32</v>
      </c>
      <c r="H262" s="1" t="s">
        <v>511</v>
      </c>
      <c r="I262" s="1" t="s">
        <v>33</v>
      </c>
      <c r="J262" s="1" t="s">
        <v>511</v>
      </c>
      <c r="K262" s="1" t="s">
        <v>51</v>
      </c>
      <c r="L262" s="1" t="s">
        <v>511</v>
      </c>
      <c r="M262" s="1" t="s">
        <v>103</v>
      </c>
      <c r="N262" s="5">
        <v>3347.37</v>
      </c>
      <c r="O262" s="27">
        <v>13</v>
      </c>
      <c r="P262" s="5">
        <v>636.0002999999997</v>
      </c>
      <c r="Q262" s="5">
        <v>257.49</v>
      </c>
    </row>
    <row r="263" spans="1:17">
      <c r="A263" s="1">
        <v>253</v>
      </c>
      <c r="B263" s="1" t="s">
        <v>534</v>
      </c>
      <c r="C263" s="1">
        <v>146941</v>
      </c>
      <c r="D263" s="7">
        <v>42717</v>
      </c>
      <c r="E263" s="1" t="s">
        <v>535</v>
      </c>
      <c r="F263" s="1" t="s">
        <v>536</v>
      </c>
      <c r="G263" s="1" t="s">
        <v>161</v>
      </c>
      <c r="H263" s="1" t="s">
        <v>536</v>
      </c>
      <c r="I263" s="1" t="s">
        <v>95</v>
      </c>
      <c r="J263" s="1" t="s">
        <v>536</v>
      </c>
      <c r="K263" s="1" t="s">
        <v>35</v>
      </c>
      <c r="L263" s="1" t="s">
        <v>536</v>
      </c>
      <c r="M263" s="1" t="s">
        <v>43</v>
      </c>
      <c r="N263" s="5">
        <v>80.58</v>
      </c>
      <c r="O263" s="27">
        <v>6</v>
      </c>
      <c r="P263" s="5">
        <v>22.562400000000004</v>
      </c>
      <c r="Q263" s="5">
        <v>13.43</v>
      </c>
    </row>
    <row r="264" spans="1:17">
      <c r="A264" s="1">
        <v>254</v>
      </c>
      <c r="B264" s="1" t="s">
        <v>534</v>
      </c>
      <c r="C264" s="1">
        <v>146941</v>
      </c>
      <c r="D264" s="7">
        <v>42717</v>
      </c>
      <c r="E264" s="1" t="s">
        <v>535</v>
      </c>
      <c r="F264" s="1" t="s">
        <v>537</v>
      </c>
      <c r="G264" s="1" t="s">
        <v>161</v>
      </c>
      <c r="H264" s="1" t="s">
        <v>537</v>
      </c>
      <c r="I264" s="1" t="s">
        <v>95</v>
      </c>
      <c r="J264" s="1" t="s">
        <v>537</v>
      </c>
      <c r="K264" s="1" t="s">
        <v>35</v>
      </c>
      <c r="L264" s="1" t="s">
        <v>537</v>
      </c>
      <c r="M264" s="1" t="s">
        <v>110</v>
      </c>
      <c r="N264" s="5">
        <v>361.92</v>
      </c>
      <c r="O264" s="27">
        <v>4</v>
      </c>
      <c r="P264" s="5">
        <v>162.864</v>
      </c>
      <c r="Q264" s="5">
        <v>90.48</v>
      </c>
    </row>
    <row r="265" spans="1:17">
      <c r="A265" s="1">
        <v>255</v>
      </c>
      <c r="B265" s="1" t="s">
        <v>538</v>
      </c>
      <c r="C265" s="1">
        <v>159982</v>
      </c>
      <c r="D265" s="7">
        <v>42342</v>
      </c>
      <c r="E265" s="1" t="s">
        <v>539</v>
      </c>
      <c r="F265" s="1" t="s">
        <v>522</v>
      </c>
      <c r="G265" s="1" t="s">
        <v>129</v>
      </c>
      <c r="H265" s="1" t="s">
        <v>522</v>
      </c>
      <c r="I265" s="1" t="s">
        <v>71</v>
      </c>
      <c r="J265" s="1" t="s">
        <v>522</v>
      </c>
      <c r="K265" s="1" t="s">
        <v>26</v>
      </c>
      <c r="L265" s="1" t="s">
        <v>522</v>
      </c>
      <c r="M265" s="1" t="s">
        <v>47</v>
      </c>
      <c r="N265" s="5">
        <v>12.132000000000001</v>
      </c>
      <c r="O265" s="27">
        <v>9</v>
      </c>
      <c r="P265" s="5">
        <v>-8.4923999999999982</v>
      </c>
      <c r="Q265" s="5">
        <v>1.3480000000000001</v>
      </c>
    </row>
    <row r="266" spans="1:17">
      <c r="A266" s="1">
        <v>256</v>
      </c>
      <c r="B266" s="1" t="s">
        <v>538</v>
      </c>
      <c r="C266" s="1">
        <v>159982</v>
      </c>
      <c r="D266" s="7">
        <v>42342</v>
      </c>
      <c r="E266" s="1" t="s">
        <v>539</v>
      </c>
      <c r="F266" s="1" t="s">
        <v>540</v>
      </c>
      <c r="G266" s="1" t="s">
        <v>129</v>
      </c>
      <c r="H266" s="1" t="s">
        <v>540</v>
      </c>
      <c r="I266" s="1" t="s">
        <v>71</v>
      </c>
      <c r="J266" s="1" t="s">
        <v>540</v>
      </c>
      <c r="K266" s="1" t="s">
        <v>35</v>
      </c>
      <c r="L266" s="1" t="s">
        <v>540</v>
      </c>
      <c r="M266" s="1" t="s">
        <v>43</v>
      </c>
      <c r="N266" s="5">
        <v>82.367999999999995</v>
      </c>
      <c r="O266" s="27">
        <v>2</v>
      </c>
      <c r="P266" s="5">
        <v>-19.562399999999997</v>
      </c>
      <c r="Q266" s="5">
        <v>41.183999999999997</v>
      </c>
    </row>
    <row r="267" spans="1:17">
      <c r="A267" s="1">
        <v>257</v>
      </c>
      <c r="B267" s="1" t="s">
        <v>538</v>
      </c>
      <c r="C267" s="1">
        <v>159982</v>
      </c>
      <c r="D267" s="7">
        <v>42342</v>
      </c>
      <c r="E267" s="1" t="s">
        <v>539</v>
      </c>
      <c r="F267" s="1" t="s">
        <v>361</v>
      </c>
      <c r="G267" s="1" t="s">
        <v>129</v>
      </c>
      <c r="H267" s="1" t="s">
        <v>361</v>
      </c>
      <c r="I267" s="1" t="s">
        <v>71</v>
      </c>
      <c r="J267" s="1" t="s">
        <v>361</v>
      </c>
      <c r="K267" s="1" t="s">
        <v>35</v>
      </c>
      <c r="L267" s="1" t="s">
        <v>361</v>
      </c>
      <c r="M267" s="1" t="s">
        <v>43</v>
      </c>
      <c r="N267" s="5">
        <v>53.92</v>
      </c>
      <c r="O267" s="27">
        <v>5</v>
      </c>
      <c r="P267" s="5">
        <v>4.0439999999999969</v>
      </c>
      <c r="Q267" s="5">
        <v>10.784000000000001</v>
      </c>
    </row>
    <row r="268" spans="1:17">
      <c r="A268" s="1">
        <v>258</v>
      </c>
      <c r="B268" s="1" t="s">
        <v>538</v>
      </c>
      <c r="C268" s="1">
        <v>159982</v>
      </c>
      <c r="D268" s="7">
        <v>42342</v>
      </c>
      <c r="E268" s="1" t="s">
        <v>539</v>
      </c>
      <c r="F268" s="1" t="s">
        <v>541</v>
      </c>
      <c r="G268" s="1" t="s">
        <v>129</v>
      </c>
      <c r="H268" s="1" t="s">
        <v>541</v>
      </c>
      <c r="I268" s="1" t="s">
        <v>71</v>
      </c>
      <c r="J268" s="1" t="s">
        <v>541</v>
      </c>
      <c r="K268" s="1" t="s">
        <v>51</v>
      </c>
      <c r="L268" s="1" t="s">
        <v>541</v>
      </c>
      <c r="M268" s="1" t="s">
        <v>52</v>
      </c>
      <c r="N268" s="5">
        <v>647.904</v>
      </c>
      <c r="O268" s="27">
        <v>6</v>
      </c>
      <c r="P268" s="5">
        <v>56.691599999999966</v>
      </c>
      <c r="Q268" s="5">
        <v>107.98399999999999</v>
      </c>
    </row>
    <row r="269" spans="1:17">
      <c r="A269" s="1">
        <v>259</v>
      </c>
      <c r="B269" s="1" t="s">
        <v>542</v>
      </c>
      <c r="C269" s="1">
        <v>163139</v>
      </c>
      <c r="D269" s="7">
        <v>43072</v>
      </c>
      <c r="E269" s="1" t="s">
        <v>543</v>
      </c>
      <c r="F269" s="1" t="s">
        <v>544</v>
      </c>
      <c r="G269" s="1" t="s">
        <v>161</v>
      </c>
      <c r="H269" s="1" t="s">
        <v>544</v>
      </c>
      <c r="I269" s="1" t="s">
        <v>95</v>
      </c>
      <c r="J269" s="1" t="s">
        <v>544</v>
      </c>
      <c r="K269" s="1" t="s">
        <v>51</v>
      </c>
      <c r="L269" s="1" t="s">
        <v>544</v>
      </c>
      <c r="M269" s="1" t="s">
        <v>103</v>
      </c>
      <c r="N269" s="5">
        <v>20.37</v>
      </c>
      <c r="O269" s="27">
        <v>3</v>
      </c>
      <c r="P269" s="5">
        <v>6.9258000000000006</v>
      </c>
      <c r="Q269" s="5">
        <v>6.79</v>
      </c>
    </row>
    <row r="270" spans="1:17">
      <c r="A270" s="1">
        <v>260</v>
      </c>
      <c r="B270" s="1" t="s">
        <v>542</v>
      </c>
      <c r="C270" s="1">
        <v>163139</v>
      </c>
      <c r="D270" s="7">
        <v>43072</v>
      </c>
      <c r="E270" s="1" t="s">
        <v>543</v>
      </c>
      <c r="F270" s="1" t="s">
        <v>545</v>
      </c>
      <c r="G270" s="1" t="s">
        <v>161</v>
      </c>
      <c r="H270" s="1" t="s">
        <v>545</v>
      </c>
      <c r="I270" s="1" t="s">
        <v>95</v>
      </c>
      <c r="J270" s="1" t="s">
        <v>545</v>
      </c>
      <c r="K270" s="1" t="s">
        <v>35</v>
      </c>
      <c r="L270" s="1" t="s">
        <v>545</v>
      </c>
      <c r="M270" s="1" t="s">
        <v>43</v>
      </c>
      <c r="N270" s="5">
        <v>221.54999999999998</v>
      </c>
      <c r="O270" s="27">
        <v>3</v>
      </c>
      <c r="P270" s="5">
        <v>6.6465000000000174</v>
      </c>
      <c r="Q270" s="5">
        <v>73.849999999999994</v>
      </c>
    </row>
    <row r="271" spans="1:17">
      <c r="A271" s="1">
        <v>261</v>
      </c>
      <c r="B271" s="1" t="s">
        <v>542</v>
      </c>
      <c r="C271" s="1">
        <v>163139</v>
      </c>
      <c r="D271" s="7">
        <v>43072</v>
      </c>
      <c r="E271" s="1" t="s">
        <v>543</v>
      </c>
      <c r="F271" s="1" t="s">
        <v>546</v>
      </c>
      <c r="G271" s="1" t="s">
        <v>161</v>
      </c>
      <c r="H271" s="1" t="s">
        <v>546</v>
      </c>
      <c r="I271" s="1" t="s">
        <v>95</v>
      </c>
      <c r="J271" s="1" t="s">
        <v>546</v>
      </c>
      <c r="K271" s="1" t="s">
        <v>35</v>
      </c>
      <c r="L271" s="1" t="s">
        <v>546</v>
      </c>
      <c r="M271" s="1" t="s">
        <v>54</v>
      </c>
      <c r="N271" s="5">
        <v>17.52</v>
      </c>
      <c r="O271" s="27">
        <v>5</v>
      </c>
      <c r="P271" s="5">
        <v>6.1319999999999988</v>
      </c>
      <c r="Q271" s="5">
        <v>3.504</v>
      </c>
    </row>
    <row r="272" spans="1:17">
      <c r="A272" s="1">
        <v>262</v>
      </c>
      <c r="B272" s="1" t="s">
        <v>547</v>
      </c>
      <c r="C272" s="1">
        <v>155299</v>
      </c>
      <c r="D272" s="7">
        <v>42898</v>
      </c>
      <c r="E272" s="1" t="s">
        <v>548</v>
      </c>
      <c r="F272" s="1" t="s">
        <v>549</v>
      </c>
      <c r="G272" s="1" t="s">
        <v>70</v>
      </c>
      <c r="H272" s="1" t="s">
        <v>549</v>
      </c>
      <c r="I272" s="1" t="s">
        <v>71</v>
      </c>
      <c r="J272" s="1" t="s">
        <v>549</v>
      </c>
      <c r="K272" s="1" t="s">
        <v>35</v>
      </c>
      <c r="L272" s="1" t="s">
        <v>549</v>
      </c>
      <c r="M272" s="1" t="s">
        <v>56</v>
      </c>
      <c r="N272" s="5">
        <v>1.6239999999999994</v>
      </c>
      <c r="O272" s="27">
        <v>2</v>
      </c>
      <c r="P272" s="5">
        <v>-4.4660000000000002</v>
      </c>
      <c r="Q272" s="5">
        <v>0.81200000000000006</v>
      </c>
    </row>
    <row r="273" spans="1:17">
      <c r="A273" s="1">
        <v>263</v>
      </c>
      <c r="B273" s="1" t="s">
        <v>550</v>
      </c>
      <c r="C273" s="1">
        <v>106992</v>
      </c>
      <c r="D273" s="7">
        <v>41903</v>
      </c>
      <c r="E273" s="1" t="s">
        <v>551</v>
      </c>
      <c r="F273" s="1" t="s">
        <v>388</v>
      </c>
      <c r="G273" s="1" t="s">
        <v>70</v>
      </c>
      <c r="H273" s="1" t="s">
        <v>388</v>
      </c>
      <c r="I273" s="1" t="s">
        <v>71</v>
      </c>
      <c r="J273" s="1" t="s">
        <v>388</v>
      </c>
      <c r="K273" s="1" t="s">
        <v>51</v>
      </c>
      <c r="L273" s="1" t="s">
        <v>388</v>
      </c>
      <c r="M273" s="1" t="s">
        <v>389</v>
      </c>
      <c r="N273" s="5">
        <v>3059.982</v>
      </c>
      <c r="O273" s="27">
        <v>3</v>
      </c>
      <c r="P273" s="5">
        <v>-509.99700000000075</v>
      </c>
      <c r="Q273" s="5">
        <v>1019.994</v>
      </c>
    </row>
    <row r="274" spans="1:17">
      <c r="A274" s="1">
        <v>264</v>
      </c>
      <c r="B274" s="1" t="s">
        <v>550</v>
      </c>
      <c r="C274" s="1">
        <v>106992</v>
      </c>
      <c r="D274" s="7">
        <v>41903</v>
      </c>
      <c r="E274" s="1" t="s">
        <v>551</v>
      </c>
      <c r="F274" s="1" t="s">
        <v>552</v>
      </c>
      <c r="G274" s="1" t="s">
        <v>70</v>
      </c>
      <c r="H274" s="1" t="s">
        <v>552</v>
      </c>
      <c r="I274" s="1" t="s">
        <v>71</v>
      </c>
      <c r="J274" s="1" t="s">
        <v>552</v>
      </c>
      <c r="K274" s="1" t="s">
        <v>51</v>
      </c>
      <c r="L274" s="1" t="s">
        <v>552</v>
      </c>
      <c r="M274" s="1" t="s">
        <v>389</v>
      </c>
      <c r="N274" s="5">
        <v>2519.9579999999996</v>
      </c>
      <c r="O274" s="27">
        <v>7</v>
      </c>
      <c r="P274" s="5">
        <v>-251.99579999999992</v>
      </c>
      <c r="Q274" s="5">
        <v>359.99400000000003</v>
      </c>
    </row>
    <row r="275" spans="1:17">
      <c r="A275" s="1">
        <v>265</v>
      </c>
      <c r="B275" s="1" t="s">
        <v>553</v>
      </c>
      <c r="C275" s="1">
        <v>125318</v>
      </c>
      <c r="D275" s="7">
        <v>42534</v>
      </c>
      <c r="E275" s="1" t="s">
        <v>554</v>
      </c>
      <c r="F275" s="1" t="s">
        <v>555</v>
      </c>
      <c r="G275" s="1" t="s">
        <v>129</v>
      </c>
      <c r="H275" s="1" t="s">
        <v>555</v>
      </c>
      <c r="I275" s="1" t="s">
        <v>71</v>
      </c>
      <c r="J275" s="1" t="s">
        <v>555</v>
      </c>
      <c r="K275" s="1" t="s">
        <v>51</v>
      </c>
      <c r="L275" s="1" t="s">
        <v>555</v>
      </c>
      <c r="M275" s="1" t="s">
        <v>52</v>
      </c>
      <c r="N275" s="5">
        <v>328.22399999999999</v>
      </c>
      <c r="O275" s="27">
        <v>4</v>
      </c>
      <c r="P275" s="5">
        <v>28.7196</v>
      </c>
      <c r="Q275" s="5">
        <v>82.055999999999997</v>
      </c>
    </row>
    <row r="276" spans="1:17">
      <c r="A276" s="1">
        <v>266</v>
      </c>
      <c r="B276" s="1" t="s">
        <v>556</v>
      </c>
      <c r="C276" s="1">
        <v>155040</v>
      </c>
      <c r="D276" s="7">
        <v>42323</v>
      </c>
      <c r="E276" s="1" t="s">
        <v>557</v>
      </c>
      <c r="F276" s="1" t="s">
        <v>558</v>
      </c>
      <c r="G276" s="1" t="s">
        <v>32</v>
      </c>
      <c r="H276" s="1" t="s">
        <v>558</v>
      </c>
      <c r="I276" s="1" t="s">
        <v>33</v>
      </c>
      <c r="J276" s="1" t="s">
        <v>558</v>
      </c>
      <c r="K276" s="1" t="s">
        <v>51</v>
      </c>
      <c r="L276" s="1" t="s">
        <v>558</v>
      </c>
      <c r="M276" s="1" t="s">
        <v>103</v>
      </c>
      <c r="N276" s="5">
        <v>79.900000000000006</v>
      </c>
      <c r="O276" s="27">
        <v>2</v>
      </c>
      <c r="P276" s="5">
        <v>35.156000000000006</v>
      </c>
      <c r="Q276" s="5">
        <v>39.950000000000003</v>
      </c>
    </row>
    <row r="277" spans="1:17">
      <c r="A277" s="1">
        <v>267</v>
      </c>
      <c r="B277" s="1" t="s">
        <v>559</v>
      </c>
      <c r="C277" s="1">
        <v>136826</v>
      </c>
      <c r="D277" s="7">
        <v>42906</v>
      </c>
      <c r="E277" s="1" t="s">
        <v>560</v>
      </c>
      <c r="F277" s="1" t="s">
        <v>561</v>
      </c>
      <c r="G277" s="1" t="s">
        <v>61</v>
      </c>
      <c r="H277" s="1" t="s">
        <v>561</v>
      </c>
      <c r="I277" s="1" t="s">
        <v>24</v>
      </c>
      <c r="J277" s="1" t="s">
        <v>561</v>
      </c>
      <c r="K277" s="1" t="s">
        <v>35</v>
      </c>
      <c r="L277" s="1" t="s">
        <v>561</v>
      </c>
      <c r="M277" s="1" t="s">
        <v>49</v>
      </c>
      <c r="N277" s="5">
        <v>14.015999999999998</v>
      </c>
      <c r="O277" s="27">
        <v>3</v>
      </c>
      <c r="P277" s="5">
        <v>4.7303999999999995</v>
      </c>
      <c r="Q277" s="5">
        <v>4.6719999999999997</v>
      </c>
    </row>
    <row r="278" spans="1:17">
      <c r="A278" s="1">
        <v>268</v>
      </c>
      <c r="B278" s="1" t="s">
        <v>562</v>
      </c>
      <c r="C278" s="1">
        <v>111010</v>
      </c>
      <c r="D278" s="7">
        <v>42397</v>
      </c>
      <c r="E278" s="1" t="s">
        <v>228</v>
      </c>
      <c r="F278" s="1" t="s">
        <v>563</v>
      </c>
      <c r="G278" s="1" t="s">
        <v>447</v>
      </c>
      <c r="H278" s="1" t="s">
        <v>563</v>
      </c>
      <c r="I278" s="1" t="s">
        <v>95</v>
      </c>
      <c r="J278" s="1" t="s">
        <v>563</v>
      </c>
      <c r="K278" s="1" t="s">
        <v>35</v>
      </c>
      <c r="L278" s="1" t="s">
        <v>563</v>
      </c>
      <c r="M278" s="1" t="s">
        <v>163</v>
      </c>
      <c r="N278" s="5">
        <v>7.5600000000000005</v>
      </c>
      <c r="O278" s="27">
        <v>6</v>
      </c>
      <c r="P278" s="5">
        <v>0.3024</v>
      </c>
      <c r="Q278" s="5">
        <v>1.26</v>
      </c>
    </row>
    <row r="279" spans="1:17">
      <c r="A279" s="1">
        <v>269</v>
      </c>
      <c r="B279" s="1" t="s">
        <v>564</v>
      </c>
      <c r="C279" s="1">
        <v>145366</v>
      </c>
      <c r="D279" s="7">
        <v>43082</v>
      </c>
      <c r="E279" s="1" t="s">
        <v>565</v>
      </c>
      <c r="F279" s="1" t="s">
        <v>566</v>
      </c>
      <c r="G279" s="1" t="s">
        <v>288</v>
      </c>
      <c r="H279" s="1" t="s">
        <v>566</v>
      </c>
      <c r="I279" s="1" t="s">
        <v>95</v>
      </c>
      <c r="J279" s="1" t="s">
        <v>566</v>
      </c>
      <c r="K279" s="1" t="s">
        <v>35</v>
      </c>
      <c r="L279" s="1" t="s">
        <v>566</v>
      </c>
      <c r="M279" s="1" t="s">
        <v>43</v>
      </c>
      <c r="N279" s="5">
        <v>37.207999999999998</v>
      </c>
      <c r="O279" s="27">
        <v>1</v>
      </c>
      <c r="P279" s="5">
        <v>-7.4416000000000011</v>
      </c>
      <c r="Q279" s="5">
        <v>37.207999999999998</v>
      </c>
    </row>
    <row r="280" spans="1:17">
      <c r="A280" s="1">
        <v>270</v>
      </c>
      <c r="B280" s="1" t="s">
        <v>564</v>
      </c>
      <c r="C280" s="1">
        <v>145366</v>
      </c>
      <c r="D280" s="7">
        <v>43082</v>
      </c>
      <c r="E280" s="1" t="s">
        <v>565</v>
      </c>
      <c r="F280" s="1" t="s">
        <v>567</v>
      </c>
      <c r="G280" s="1" t="s">
        <v>288</v>
      </c>
      <c r="H280" s="1" t="s">
        <v>567</v>
      </c>
      <c r="I280" s="1" t="s">
        <v>95</v>
      </c>
      <c r="J280" s="1" t="s">
        <v>567</v>
      </c>
      <c r="K280" s="1" t="s">
        <v>35</v>
      </c>
      <c r="L280" s="1" t="s">
        <v>567</v>
      </c>
      <c r="M280" s="1" t="s">
        <v>110</v>
      </c>
      <c r="N280" s="5">
        <v>57.576000000000001</v>
      </c>
      <c r="O280" s="27">
        <v>3</v>
      </c>
      <c r="P280" s="5">
        <v>21.591000000000001</v>
      </c>
      <c r="Q280" s="5">
        <v>19.192</v>
      </c>
    </row>
    <row r="281" spans="1:17">
      <c r="A281" s="1">
        <v>271</v>
      </c>
      <c r="B281" s="1" t="s">
        <v>568</v>
      </c>
      <c r="C281" s="1">
        <v>163979</v>
      </c>
      <c r="D281" s="7">
        <v>43102</v>
      </c>
      <c r="E281" s="1" t="s">
        <v>569</v>
      </c>
      <c r="F281" s="1" t="s">
        <v>570</v>
      </c>
      <c r="G281" s="1" t="s">
        <v>32</v>
      </c>
      <c r="H281" s="1" t="s">
        <v>570</v>
      </c>
      <c r="I281" s="1" t="s">
        <v>33</v>
      </c>
      <c r="J281" s="1" t="s">
        <v>570</v>
      </c>
      <c r="K281" s="1" t="s">
        <v>35</v>
      </c>
      <c r="L281" s="1" t="s">
        <v>570</v>
      </c>
      <c r="M281" s="1" t="s">
        <v>43</v>
      </c>
      <c r="N281" s="5">
        <v>725.84</v>
      </c>
      <c r="O281" s="27">
        <v>4</v>
      </c>
      <c r="P281" s="5">
        <v>210.4935999999999</v>
      </c>
      <c r="Q281" s="5">
        <v>181.46</v>
      </c>
    </row>
    <row r="282" spans="1:17">
      <c r="A282" s="1">
        <v>272</v>
      </c>
      <c r="B282" s="1" t="s">
        <v>571</v>
      </c>
      <c r="C282" s="1">
        <v>155334</v>
      </c>
      <c r="D282" s="7">
        <v>42216</v>
      </c>
      <c r="E282" s="1" t="s">
        <v>344</v>
      </c>
      <c r="F282" s="1" t="s">
        <v>572</v>
      </c>
      <c r="G282" s="1" t="s">
        <v>32</v>
      </c>
      <c r="H282" s="1" t="s">
        <v>572</v>
      </c>
      <c r="I282" s="1" t="s">
        <v>33</v>
      </c>
      <c r="J282" s="1" t="s">
        <v>572</v>
      </c>
      <c r="K282" s="1" t="s">
        <v>51</v>
      </c>
      <c r="L282" s="1" t="s">
        <v>572</v>
      </c>
      <c r="M282" s="1" t="s">
        <v>103</v>
      </c>
      <c r="N282" s="5">
        <v>209.92999999999998</v>
      </c>
      <c r="O282" s="27">
        <v>7</v>
      </c>
      <c r="P282" s="5">
        <v>92.369200000000021</v>
      </c>
      <c r="Q282" s="5">
        <v>29.99</v>
      </c>
    </row>
    <row r="283" spans="1:17">
      <c r="A283" s="1">
        <v>273</v>
      </c>
      <c r="B283" s="1" t="s">
        <v>571</v>
      </c>
      <c r="C283" s="1">
        <v>155334</v>
      </c>
      <c r="D283" s="7">
        <v>42216</v>
      </c>
      <c r="E283" s="1" t="s">
        <v>344</v>
      </c>
      <c r="F283" s="1" t="s">
        <v>573</v>
      </c>
      <c r="G283" s="1" t="s">
        <v>32</v>
      </c>
      <c r="H283" s="1" t="s">
        <v>573</v>
      </c>
      <c r="I283" s="1" t="s">
        <v>33</v>
      </c>
      <c r="J283" s="1" t="s">
        <v>573</v>
      </c>
      <c r="K283" s="1" t="s">
        <v>26</v>
      </c>
      <c r="L283" s="1" t="s">
        <v>573</v>
      </c>
      <c r="M283" s="1" t="s">
        <v>47</v>
      </c>
      <c r="N283" s="5">
        <v>5.28</v>
      </c>
      <c r="O283" s="27">
        <v>3</v>
      </c>
      <c r="P283" s="5">
        <v>2.3232000000000004</v>
      </c>
      <c r="Q283" s="5">
        <v>1.76</v>
      </c>
    </row>
    <row r="284" spans="1:17">
      <c r="A284" s="1">
        <v>274</v>
      </c>
      <c r="B284" s="1" t="s">
        <v>571</v>
      </c>
      <c r="C284" s="1">
        <v>155334</v>
      </c>
      <c r="D284" s="7">
        <v>42216</v>
      </c>
      <c r="E284" s="1" t="s">
        <v>344</v>
      </c>
      <c r="F284" s="1" t="s">
        <v>574</v>
      </c>
      <c r="G284" s="1" t="s">
        <v>32</v>
      </c>
      <c r="H284" s="1" t="s">
        <v>574</v>
      </c>
      <c r="I284" s="1" t="s">
        <v>33</v>
      </c>
      <c r="J284" s="1" t="s">
        <v>574</v>
      </c>
      <c r="K284" s="1" t="s">
        <v>35</v>
      </c>
      <c r="L284" s="1" t="s">
        <v>574</v>
      </c>
      <c r="M284" s="1" t="s">
        <v>54</v>
      </c>
      <c r="N284" s="5">
        <v>10.92</v>
      </c>
      <c r="O284" s="27">
        <v>3</v>
      </c>
      <c r="P284" s="5">
        <v>4.0949999999999989</v>
      </c>
      <c r="Q284" s="5">
        <v>3.64</v>
      </c>
    </row>
    <row r="285" spans="1:17">
      <c r="A285" s="1">
        <v>275</v>
      </c>
      <c r="B285" s="1" t="s">
        <v>575</v>
      </c>
      <c r="C285" s="1">
        <v>118136</v>
      </c>
      <c r="D285" s="7">
        <v>42995</v>
      </c>
      <c r="E285" s="1" t="s">
        <v>576</v>
      </c>
      <c r="F285" s="1" t="s">
        <v>577</v>
      </c>
      <c r="G285" s="1" t="s">
        <v>32</v>
      </c>
      <c r="H285" s="1" t="s">
        <v>577</v>
      </c>
      <c r="I285" s="1" t="s">
        <v>33</v>
      </c>
      <c r="J285" s="1" t="s">
        <v>577</v>
      </c>
      <c r="K285" s="1" t="s">
        <v>35</v>
      </c>
      <c r="L285" s="1" t="s">
        <v>577</v>
      </c>
      <c r="M285" s="1" t="s">
        <v>63</v>
      </c>
      <c r="N285" s="5">
        <v>8.82</v>
      </c>
      <c r="O285" s="27">
        <v>2</v>
      </c>
      <c r="P285" s="5">
        <v>4.0571999999999999</v>
      </c>
      <c r="Q285" s="5">
        <v>4.41</v>
      </c>
    </row>
    <row r="286" spans="1:17">
      <c r="A286" s="1">
        <v>276</v>
      </c>
      <c r="B286" s="1" t="s">
        <v>575</v>
      </c>
      <c r="C286" s="1">
        <v>118136</v>
      </c>
      <c r="D286" s="7">
        <v>42995</v>
      </c>
      <c r="E286" s="1" t="s">
        <v>576</v>
      </c>
      <c r="F286" s="1" t="s">
        <v>578</v>
      </c>
      <c r="G286" s="1" t="s">
        <v>32</v>
      </c>
      <c r="H286" s="1" t="s">
        <v>578</v>
      </c>
      <c r="I286" s="1" t="s">
        <v>33</v>
      </c>
      <c r="J286" s="1" t="s">
        <v>578</v>
      </c>
      <c r="K286" s="1" t="s">
        <v>35</v>
      </c>
      <c r="L286" s="1" t="s">
        <v>578</v>
      </c>
      <c r="M286" s="1" t="s">
        <v>49</v>
      </c>
      <c r="N286" s="5">
        <v>5.98</v>
      </c>
      <c r="O286" s="27">
        <v>1</v>
      </c>
      <c r="P286" s="5">
        <v>1.5548000000000002</v>
      </c>
      <c r="Q286" s="5">
        <v>5.98</v>
      </c>
    </row>
    <row r="287" spans="1:17">
      <c r="A287" s="1">
        <v>277</v>
      </c>
      <c r="B287" s="1" t="s">
        <v>579</v>
      </c>
      <c r="C287" s="1">
        <v>132976</v>
      </c>
      <c r="D287" s="7">
        <v>43025</v>
      </c>
      <c r="E287" s="1" t="s">
        <v>580</v>
      </c>
      <c r="F287" s="1" t="s">
        <v>581</v>
      </c>
      <c r="G287" s="1" t="s">
        <v>94</v>
      </c>
      <c r="H287" s="1" t="s">
        <v>581</v>
      </c>
      <c r="I287" s="1" t="s">
        <v>95</v>
      </c>
      <c r="J287" s="1" t="s">
        <v>581</v>
      </c>
      <c r="K287" s="1" t="s">
        <v>35</v>
      </c>
      <c r="L287" s="1" t="s">
        <v>581</v>
      </c>
      <c r="M287" s="1" t="s">
        <v>63</v>
      </c>
      <c r="N287" s="5">
        <v>11.648000000000001</v>
      </c>
      <c r="O287" s="27">
        <v>2</v>
      </c>
      <c r="P287" s="5">
        <v>4.0768000000000004</v>
      </c>
      <c r="Q287" s="5">
        <v>5.8239999999999998</v>
      </c>
    </row>
    <row r="288" spans="1:17">
      <c r="A288" s="1">
        <v>278</v>
      </c>
      <c r="B288" s="1" t="s">
        <v>579</v>
      </c>
      <c r="C288" s="1">
        <v>132976</v>
      </c>
      <c r="D288" s="7">
        <v>43025</v>
      </c>
      <c r="E288" s="1" t="s">
        <v>580</v>
      </c>
      <c r="F288" s="1" t="s">
        <v>582</v>
      </c>
      <c r="G288" s="1" t="s">
        <v>94</v>
      </c>
      <c r="H288" s="1" t="s">
        <v>582</v>
      </c>
      <c r="I288" s="1" t="s">
        <v>95</v>
      </c>
      <c r="J288" s="1" t="s">
        <v>582</v>
      </c>
      <c r="K288" s="1" t="s">
        <v>35</v>
      </c>
      <c r="L288" s="1" t="s">
        <v>582</v>
      </c>
      <c r="M288" s="1" t="s">
        <v>63</v>
      </c>
      <c r="N288" s="5">
        <v>18.175999999999998</v>
      </c>
      <c r="O288" s="27">
        <v>4</v>
      </c>
      <c r="P288" s="5">
        <v>5.9071999999999987</v>
      </c>
      <c r="Q288" s="5">
        <v>4.5439999999999996</v>
      </c>
    </row>
    <row r="289" spans="1:17">
      <c r="A289" s="1">
        <v>279</v>
      </c>
      <c r="B289" s="1" t="s">
        <v>579</v>
      </c>
      <c r="C289" s="1">
        <v>132976</v>
      </c>
      <c r="D289" s="7">
        <v>43025</v>
      </c>
      <c r="E289" s="1" t="s">
        <v>580</v>
      </c>
      <c r="F289" s="1" t="s">
        <v>583</v>
      </c>
      <c r="G289" s="1" t="s">
        <v>94</v>
      </c>
      <c r="H289" s="1" t="s">
        <v>583</v>
      </c>
      <c r="I289" s="1" t="s">
        <v>95</v>
      </c>
      <c r="J289" s="1" t="s">
        <v>583</v>
      </c>
      <c r="K289" s="1" t="s">
        <v>35</v>
      </c>
      <c r="L289" s="1" t="s">
        <v>583</v>
      </c>
      <c r="M289" s="1" t="s">
        <v>43</v>
      </c>
      <c r="N289" s="5">
        <v>59.712000000000003</v>
      </c>
      <c r="O289" s="27">
        <v>6</v>
      </c>
      <c r="P289" s="5">
        <v>5.9711999999999996</v>
      </c>
      <c r="Q289" s="5">
        <v>9.952</v>
      </c>
    </row>
    <row r="290" spans="1:17">
      <c r="A290" s="1">
        <v>280</v>
      </c>
      <c r="B290" s="1" t="s">
        <v>579</v>
      </c>
      <c r="C290" s="1">
        <v>132976</v>
      </c>
      <c r="D290" s="7">
        <v>43025</v>
      </c>
      <c r="E290" s="1" t="s">
        <v>580</v>
      </c>
      <c r="F290" s="1" t="s">
        <v>584</v>
      </c>
      <c r="G290" s="1" t="s">
        <v>94</v>
      </c>
      <c r="H290" s="1" t="s">
        <v>584</v>
      </c>
      <c r="I290" s="1" t="s">
        <v>95</v>
      </c>
      <c r="J290" s="1" t="s">
        <v>584</v>
      </c>
      <c r="K290" s="1" t="s">
        <v>35</v>
      </c>
      <c r="L290" s="1" t="s">
        <v>584</v>
      </c>
      <c r="M290" s="1" t="s">
        <v>36</v>
      </c>
      <c r="N290" s="5">
        <v>24.839999999999996</v>
      </c>
      <c r="O290" s="27">
        <v>3</v>
      </c>
      <c r="P290" s="5">
        <v>8.6940000000000008</v>
      </c>
      <c r="Q290" s="5">
        <v>8.2799999999999994</v>
      </c>
    </row>
    <row r="291" spans="1:17">
      <c r="A291" s="1">
        <v>281</v>
      </c>
      <c r="B291" s="1" t="s">
        <v>585</v>
      </c>
      <c r="C291" s="1">
        <v>161991</v>
      </c>
      <c r="D291" s="7">
        <v>42275</v>
      </c>
      <c r="E291" s="1" t="s">
        <v>300</v>
      </c>
      <c r="F291" s="1" t="s">
        <v>586</v>
      </c>
      <c r="G291" s="1" t="s">
        <v>70</v>
      </c>
      <c r="H291" s="1" t="s">
        <v>586</v>
      </c>
      <c r="I291" s="1" t="s">
        <v>71</v>
      </c>
      <c r="J291" s="1" t="s">
        <v>586</v>
      </c>
      <c r="K291" s="1" t="s">
        <v>35</v>
      </c>
      <c r="L291" s="1" t="s">
        <v>586</v>
      </c>
      <c r="M291" s="1" t="s">
        <v>54</v>
      </c>
      <c r="N291" s="5">
        <v>2.0799999999999996</v>
      </c>
      <c r="O291" s="27">
        <v>5</v>
      </c>
      <c r="P291" s="5">
        <v>-3.4320000000000004</v>
      </c>
      <c r="Q291" s="5">
        <v>0.41599999999999998</v>
      </c>
    </row>
    <row r="292" spans="1:17">
      <c r="A292" s="1">
        <v>282</v>
      </c>
      <c r="B292" s="1" t="s">
        <v>585</v>
      </c>
      <c r="C292" s="1">
        <v>161991</v>
      </c>
      <c r="D292" s="7">
        <v>42275</v>
      </c>
      <c r="E292" s="1" t="s">
        <v>300</v>
      </c>
      <c r="F292" s="1" t="s">
        <v>587</v>
      </c>
      <c r="G292" s="1" t="s">
        <v>70</v>
      </c>
      <c r="H292" s="1" t="s">
        <v>587</v>
      </c>
      <c r="I292" s="1" t="s">
        <v>71</v>
      </c>
      <c r="J292" s="1" t="s">
        <v>587</v>
      </c>
      <c r="K292" s="1" t="s">
        <v>51</v>
      </c>
      <c r="L292" s="1" t="s">
        <v>587</v>
      </c>
      <c r="M292" s="1" t="s">
        <v>52</v>
      </c>
      <c r="N292" s="5">
        <v>1114.4000000000001</v>
      </c>
      <c r="O292" s="27">
        <v>7</v>
      </c>
      <c r="P292" s="5">
        <v>376.11</v>
      </c>
      <c r="Q292" s="5">
        <v>159.19999999999999</v>
      </c>
    </row>
    <row r="293" spans="1:17">
      <c r="A293" s="1">
        <v>283</v>
      </c>
      <c r="B293" s="1" t="s">
        <v>588</v>
      </c>
      <c r="C293" s="1">
        <v>130890</v>
      </c>
      <c r="D293" s="7">
        <v>42314</v>
      </c>
      <c r="E293" s="1" t="s">
        <v>589</v>
      </c>
      <c r="F293" s="1" t="s">
        <v>590</v>
      </c>
      <c r="G293" s="1" t="s">
        <v>32</v>
      </c>
      <c r="H293" s="1" t="s">
        <v>590</v>
      </c>
      <c r="I293" s="1" t="s">
        <v>33</v>
      </c>
      <c r="J293" s="1" t="s">
        <v>590</v>
      </c>
      <c r="K293" s="1" t="s">
        <v>26</v>
      </c>
      <c r="L293" s="1" t="s">
        <v>590</v>
      </c>
      <c r="M293" s="1" t="s">
        <v>41</v>
      </c>
      <c r="N293" s="5">
        <v>1038.8399999999999</v>
      </c>
      <c r="O293" s="27">
        <v>5</v>
      </c>
      <c r="P293" s="5">
        <v>51.942000000000007</v>
      </c>
      <c r="Q293" s="5">
        <v>207.768</v>
      </c>
    </row>
    <row r="294" spans="1:17">
      <c r="A294" s="1">
        <v>284</v>
      </c>
      <c r="B294" s="1" t="s">
        <v>591</v>
      </c>
      <c r="C294" s="1">
        <v>130883</v>
      </c>
      <c r="D294" s="7">
        <v>42279</v>
      </c>
      <c r="E294" s="1" t="s">
        <v>105</v>
      </c>
      <c r="F294" s="1" t="s">
        <v>592</v>
      </c>
      <c r="G294" s="1" t="s">
        <v>245</v>
      </c>
      <c r="H294" s="1" t="s">
        <v>592</v>
      </c>
      <c r="I294" s="1" t="s">
        <v>33</v>
      </c>
      <c r="J294" s="1" t="s">
        <v>592</v>
      </c>
      <c r="K294" s="1" t="s">
        <v>35</v>
      </c>
      <c r="L294" s="1" t="s">
        <v>592</v>
      </c>
      <c r="M294" s="1" t="s">
        <v>63</v>
      </c>
      <c r="N294" s="5">
        <v>141.76</v>
      </c>
      <c r="O294" s="27">
        <v>5</v>
      </c>
      <c r="P294" s="5">
        <v>47.843999999999994</v>
      </c>
      <c r="Q294" s="5">
        <v>28.352</v>
      </c>
    </row>
    <row r="295" spans="1:17">
      <c r="A295" s="1">
        <v>285</v>
      </c>
      <c r="B295" s="1" t="s">
        <v>591</v>
      </c>
      <c r="C295" s="1">
        <v>130883</v>
      </c>
      <c r="D295" s="7">
        <v>42279</v>
      </c>
      <c r="E295" s="1" t="s">
        <v>105</v>
      </c>
      <c r="F295" s="1" t="s">
        <v>593</v>
      </c>
      <c r="G295" s="1" t="s">
        <v>245</v>
      </c>
      <c r="H295" s="1" t="s">
        <v>593</v>
      </c>
      <c r="I295" s="1" t="s">
        <v>33</v>
      </c>
      <c r="J295" s="1" t="s">
        <v>593</v>
      </c>
      <c r="K295" s="1" t="s">
        <v>51</v>
      </c>
      <c r="L295" s="1" t="s">
        <v>593</v>
      </c>
      <c r="M295" s="1" t="s">
        <v>103</v>
      </c>
      <c r="N295" s="5">
        <v>239.80000000000004</v>
      </c>
      <c r="O295" s="27">
        <v>5</v>
      </c>
      <c r="P295" s="5">
        <v>47.959999999999987</v>
      </c>
      <c r="Q295" s="5">
        <v>47.96</v>
      </c>
    </row>
    <row r="296" spans="1:17">
      <c r="A296" s="1">
        <v>286</v>
      </c>
      <c r="B296" s="1" t="s">
        <v>591</v>
      </c>
      <c r="C296" s="1">
        <v>130883</v>
      </c>
      <c r="D296" s="7">
        <v>42279</v>
      </c>
      <c r="E296" s="1" t="s">
        <v>105</v>
      </c>
      <c r="F296" s="1" t="s">
        <v>594</v>
      </c>
      <c r="G296" s="1" t="s">
        <v>245</v>
      </c>
      <c r="H296" s="1" t="s">
        <v>594</v>
      </c>
      <c r="I296" s="1" t="s">
        <v>33</v>
      </c>
      <c r="J296" s="1" t="s">
        <v>594</v>
      </c>
      <c r="K296" s="1" t="s">
        <v>35</v>
      </c>
      <c r="L296" s="1" t="s">
        <v>594</v>
      </c>
      <c r="M296" s="1" t="s">
        <v>63</v>
      </c>
      <c r="N296" s="5">
        <v>31.104000000000006</v>
      </c>
      <c r="O296" s="27">
        <v>6</v>
      </c>
      <c r="P296" s="5">
        <v>10.8864</v>
      </c>
      <c r="Q296" s="5">
        <v>5.1840000000000002</v>
      </c>
    </row>
    <row r="297" spans="1:17">
      <c r="A297" s="1">
        <v>287</v>
      </c>
      <c r="B297" s="1" t="s">
        <v>595</v>
      </c>
      <c r="C297" s="1">
        <v>112697</v>
      </c>
      <c r="D297" s="7">
        <v>42724</v>
      </c>
      <c r="E297" s="1" t="s">
        <v>596</v>
      </c>
      <c r="F297" s="1" t="s">
        <v>597</v>
      </c>
      <c r="G297" s="1" t="s">
        <v>39</v>
      </c>
      <c r="H297" s="1" t="s">
        <v>597</v>
      </c>
      <c r="I297" s="1" t="s">
        <v>24</v>
      </c>
      <c r="J297" s="1" t="s">
        <v>597</v>
      </c>
      <c r="K297" s="1" t="s">
        <v>35</v>
      </c>
      <c r="L297" s="1" t="s">
        <v>597</v>
      </c>
      <c r="M297" s="1" t="s">
        <v>54</v>
      </c>
      <c r="N297" s="5">
        <v>254.05800000000002</v>
      </c>
      <c r="O297" s="27">
        <v>7</v>
      </c>
      <c r="P297" s="5">
        <v>-169.3719999999999</v>
      </c>
      <c r="Q297" s="5">
        <v>36.293999999999997</v>
      </c>
    </row>
    <row r="298" spans="1:17">
      <c r="A298" s="1">
        <v>288</v>
      </c>
      <c r="B298" s="1" t="s">
        <v>595</v>
      </c>
      <c r="C298" s="1">
        <v>112697</v>
      </c>
      <c r="D298" s="7">
        <v>42724</v>
      </c>
      <c r="E298" s="1" t="s">
        <v>596</v>
      </c>
      <c r="F298" s="1" t="s">
        <v>406</v>
      </c>
      <c r="G298" s="1" t="s">
        <v>39</v>
      </c>
      <c r="H298" s="1" t="s">
        <v>406</v>
      </c>
      <c r="I298" s="1" t="s">
        <v>24</v>
      </c>
      <c r="J298" s="1" t="s">
        <v>406</v>
      </c>
      <c r="K298" s="1" t="s">
        <v>35</v>
      </c>
      <c r="L298" s="1" t="s">
        <v>406</v>
      </c>
      <c r="M298" s="1" t="s">
        <v>56</v>
      </c>
      <c r="N298" s="5">
        <v>194.52800000000002</v>
      </c>
      <c r="O298" s="27">
        <v>2</v>
      </c>
      <c r="P298" s="5">
        <v>24.315999999999974</v>
      </c>
      <c r="Q298" s="5">
        <v>97.263999999999996</v>
      </c>
    </row>
    <row r="299" spans="1:17">
      <c r="A299" s="1">
        <v>289</v>
      </c>
      <c r="B299" s="1" t="s">
        <v>595</v>
      </c>
      <c r="C299" s="1">
        <v>112697</v>
      </c>
      <c r="D299" s="7">
        <v>42724</v>
      </c>
      <c r="E299" s="1" t="s">
        <v>596</v>
      </c>
      <c r="F299" s="1" t="s">
        <v>598</v>
      </c>
      <c r="G299" s="1" t="s">
        <v>39</v>
      </c>
      <c r="H299" s="1" t="s">
        <v>598</v>
      </c>
      <c r="I299" s="1" t="s">
        <v>24</v>
      </c>
      <c r="J299" s="1" t="s">
        <v>598</v>
      </c>
      <c r="K299" s="1" t="s">
        <v>35</v>
      </c>
      <c r="L299" s="1" t="s">
        <v>598</v>
      </c>
      <c r="M299" s="1" t="s">
        <v>331</v>
      </c>
      <c r="N299" s="5">
        <v>961.48000000000013</v>
      </c>
      <c r="O299" s="27">
        <v>5</v>
      </c>
      <c r="P299" s="5">
        <v>-204.31449999999995</v>
      </c>
      <c r="Q299" s="5">
        <v>192.29599999999999</v>
      </c>
    </row>
    <row r="300" spans="1:17">
      <c r="A300" s="1">
        <v>290</v>
      </c>
      <c r="B300" s="1" t="s">
        <v>599</v>
      </c>
      <c r="C300" s="1">
        <v>110772</v>
      </c>
      <c r="D300" s="7">
        <v>42698</v>
      </c>
      <c r="E300" s="1" t="s">
        <v>600</v>
      </c>
      <c r="F300" s="1" t="s">
        <v>601</v>
      </c>
      <c r="G300" s="1" t="s">
        <v>288</v>
      </c>
      <c r="H300" s="1" t="s">
        <v>601</v>
      </c>
      <c r="I300" s="1" t="s">
        <v>95</v>
      </c>
      <c r="J300" s="1" t="s">
        <v>601</v>
      </c>
      <c r="K300" s="1" t="s">
        <v>35</v>
      </c>
      <c r="L300" s="1" t="s">
        <v>601</v>
      </c>
      <c r="M300" s="1" t="s">
        <v>163</v>
      </c>
      <c r="N300" s="5">
        <v>19.096</v>
      </c>
      <c r="O300" s="27">
        <v>7</v>
      </c>
      <c r="P300" s="5">
        <v>6.6835999999999993</v>
      </c>
      <c r="Q300" s="5">
        <v>2.7280000000000002</v>
      </c>
    </row>
    <row r="301" spans="1:17">
      <c r="A301" s="1">
        <v>291</v>
      </c>
      <c r="B301" s="1" t="s">
        <v>599</v>
      </c>
      <c r="C301" s="1">
        <v>110772</v>
      </c>
      <c r="D301" s="7">
        <v>42698</v>
      </c>
      <c r="E301" s="1" t="s">
        <v>600</v>
      </c>
      <c r="F301" s="1" t="s">
        <v>602</v>
      </c>
      <c r="G301" s="1" t="s">
        <v>288</v>
      </c>
      <c r="H301" s="1" t="s">
        <v>602</v>
      </c>
      <c r="I301" s="1" t="s">
        <v>95</v>
      </c>
      <c r="J301" s="1" t="s">
        <v>602</v>
      </c>
      <c r="K301" s="1" t="s">
        <v>35</v>
      </c>
      <c r="L301" s="1" t="s">
        <v>602</v>
      </c>
      <c r="M301" s="1" t="s">
        <v>36</v>
      </c>
      <c r="N301" s="5">
        <v>18.496000000000002</v>
      </c>
      <c r="O301" s="27">
        <v>8</v>
      </c>
      <c r="P301" s="5">
        <v>6.2423999999999999</v>
      </c>
      <c r="Q301" s="5">
        <v>2.3119999999999998</v>
      </c>
    </row>
    <row r="302" spans="1:17">
      <c r="A302" s="1">
        <v>292</v>
      </c>
      <c r="B302" s="1" t="s">
        <v>599</v>
      </c>
      <c r="C302" s="1">
        <v>110772</v>
      </c>
      <c r="D302" s="7">
        <v>42698</v>
      </c>
      <c r="E302" s="1" t="s">
        <v>600</v>
      </c>
      <c r="F302" s="1" t="s">
        <v>603</v>
      </c>
      <c r="G302" s="1" t="s">
        <v>288</v>
      </c>
      <c r="H302" s="1" t="s">
        <v>603</v>
      </c>
      <c r="I302" s="1" t="s">
        <v>95</v>
      </c>
      <c r="J302" s="1" t="s">
        <v>603</v>
      </c>
      <c r="K302" s="1" t="s">
        <v>51</v>
      </c>
      <c r="L302" s="1" t="s">
        <v>603</v>
      </c>
      <c r="M302" s="1" t="s">
        <v>103</v>
      </c>
      <c r="N302" s="5">
        <v>255.98400000000004</v>
      </c>
      <c r="O302" s="27">
        <v>2</v>
      </c>
      <c r="P302" s="5">
        <v>54.396600000000007</v>
      </c>
      <c r="Q302" s="5">
        <v>127.992</v>
      </c>
    </row>
    <row r="303" spans="1:17">
      <c r="A303" s="1">
        <v>293</v>
      </c>
      <c r="B303" s="1" t="s">
        <v>599</v>
      </c>
      <c r="C303" s="1">
        <v>110772</v>
      </c>
      <c r="D303" s="7">
        <v>42698</v>
      </c>
      <c r="E303" s="1" t="s">
        <v>600</v>
      </c>
      <c r="F303" s="1" t="s">
        <v>604</v>
      </c>
      <c r="G303" s="1" t="s">
        <v>288</v>
      </c>
      <c r="H303" s="1" t="s">
        <v>604</v>
      </c>
      <c r="I303" s="1" t="s">
        <v>95</v>
      </c>
      <c r="J303" s="1" t="s">
        <v>604</v>
      </c>
      <c r="K303" s="1" t="s">
        <v>26</v>
      </c>
      <c r="L303" s="1" t="s">
        <v>604</v>
      </c>
      <c r="M303" s="1" t="s">
        <v>27</v>
      </c>
      <c r="N303" s="5">
        <v>86.97</v>
      </c>
      <c r="O303" s="27">
        <v>3</v>
      </c>
      <c r="P303" s="5">
        <v>-48.703199999999995</v>
      </c>
      <c r="Q303" s="5">
        <v>28.99</v>
      </c>
    </row>
    <row r="304" spans="1:17">
      <c r="A304" s="1">
        <v>294</v>
      </c>
      <c r="B304" s="1" t="s">
        <v>605</v>
      </c>
      <c r="C304" s="1">
        <v>111451</v>
      </c>
      <c r="D304" s="7">
        <v>42001</v>
      </c>
      <c r="E304" s="1" t="s">
        <v>606</v>
      </c>
      <c r="F304" s="1" t="s">
        <v>607</v>
      </c>
      <c r="G304" s="1" t="s">
        <v>266</v>
      </c>
      <c r="H304" s="1" t="s">
        <v>607</v>
      </c>
      <c r="I304" s="1" t="s">
        <v>33</v>
      </c>
      <c r="J304" s="1" t="s">
        <v>607</v>
      </c>
      <c r="K304" s="1" t="s">
        <v>26</v>
      </c>
      <c r="L304" s="1" t="s">
        <v>607</v>
      </c>
      <c r="M304" s="1" t="s">
        <v>47</v>
      </c>
      <c r="N304" s="5">
        <v>300.416</v>
      </c>
      <c r="O304" s="27">
        <v>8</v>
      </c>
      <c r="P304" s="5">
        <v>78.859200000000001</v>
      </c>
      <c r="Q304" s="5">
        <v>37.552</v>
      </c>
    </row>
    <row r="305" spans="1:17">
      <c r="A305" s="1">
        <v>295</v>
      </c>
      <c r="B305" s="1" t="s">
        <v>605</v>
      </c>
      <c r="C305" s="1">
        <v>111451</v>
      </c>
      <c r="D305" s="7">
        <v>42001</v>
      </c>
      <c r="E305" s="1" t="s">
        <v>606</v>
      </c>
      <c r="F305" s="1" t="s">
        <v>608</v>
      </c>
      <c r="G305" s="1" t="s">
        <v>266</v>
      </c>
      <c r="H305" s="1" t="s">
        <v>608</v>
      </c>
      <c r="I305" s="1" t="s">
        <v>33</v>
      </c>
      <c r="J305" s="1" t="s">
        <v>608</v>
      </c>
      <c r="K305" s="1" t="s">
        <v>26</v>
      </c>
      <c r="L305" s="1" t="s">
        <v>608</v>
      </c>
      <c r="M305" s="1" t="s">
        <v>29</v>
      </c>
      <c r="N305" s="5">
        <v>230.35200000000003</v>
      </c>
      <c r="O305" s="27">
        <v>3</v>
      </c>
      <c r="P305" s="5">
        <v>20.155800000000013</v>
      </c>
      <c r="Q305" s="5">
        <v>76.784000000000006</v>
      </c>
    </row>
    <row r="306" spans="1:17">
      <c r="A306" s="1">
        <v>296</v>
      </c>
      <c r="B306" s="1" t="s">
        <v>605</v>
      </c>
      <c r="C306" s="1">
        <v>111451</v>
      </c>
      <c r="D306" s="7">
        <v>42001</v>
      </c>
      <c r="E306" s="1" t="s">
        <v>606</v>
      </c>
      <c r="F306" s="1" t="s">
        <v>609</v>
      </c>
      <c r="G306" s="1" t="s">
        <v>266</v>
      </c>
      <c r="H306" s="1" t="s">
        <v>609</v>
      </c>
      <c r="I306" s="1" t="s">
        <v>33</v>
      </c>
      <c r="J306" s="1" t="s">
        <v>609</v>
      </c>
      <c r="K306" s="1" t="s">
        <v>26</v>
      </c>
      <c r="L306" s="1" t="s">
        <v>609</v>
      </c>
      <c r="M306" s="1" t="s">
        <v>47</v>
      </c>
      <c r="N306" s="5">
        <v>218.35200000000003</v>
      </c>
      <c r="O306" s="27">
        <v>3</v>
      </c>
      <c r="P306" s="5">
        <v>-24.564599999999999</v>
      </c>
      <c r="Q306" s="5">
        <v>72.784000000000006</v>
      </c>
    </row>
    <row r="307" spans="1:17">
      <c r="A307" s="1">
        <v>297</v>
      </c>
      <c r="B307" s="1" t="s">
        <v>605</v>
      </c>
      <c r="C307" s="1">
        <v>111451</v>
      </c>
      <c r="D307" s="7">
        <v>42001</v>
      </c>
      <c r="E307" s="1" t="s">
        <v>606</v>
      </c>
      <c r="F307" s="1" t="s">
        <v>610</v>
      </c>
      <c r="G307" s="1" t="s">
        <v>266</v>
      </c>
      <c r="H307" s="1" t="s">
        <v>610</v>
      </c>
      <c r="I307" s="1" t="s">
        <v>33</v>
      </c>
      <c r="J307" s="1" t="s">
        <v>610</v>
      </c>
      <c r="K307" s="1" t="s">
        <v>35</v>
      </c>
      <c r="L307" s="1" t="s">
        <v>610</v>
      </c>
      <c r="M307" s="1" t="s">
        <v>54</v>
      </c>
      <c r="N307" s="5">
        <v>78.600000000000009</v>
      </c>
      <c r="O307" s="27">
        <v>5</v>
      </c>
      <c r="P307" s="5">
        <v>-62.88000000000001</v>
      </c>
      <c r="Q307" s="5">
        <v>15.72</v>
      </c>
    </row>
    <row r="308" spans="1:17">
      <c r="A308" s="1">
        <v>298</v>
      </c>
      <c r="B308" s="1" t="s">
        <v>605</v>
      </c>
      <c r="C308" s="1">
        <v>111451</v>
      </c>
      <c r="D308" s="7">
        <v>42001</v>
      </c>
      <c r="E308" s="1" t="s">
        <v>606</v>
      </c>
      <c r="F308" s="1" t="s">
        <v>611</v>
      </c>
      <c r="G308" s="1" t="s">
        <v>266</v>
      </c>
      <c r="H308" s="1" t="s">
        <v>611</v>
      </c>
      <c r="I308" s="1" t="s">
        <v>33</v>
      </c>
      <c r="J308" s="1" t="s">
        <v>611</v>
      </c>
      <c r="K308" s="1" t="s">
        <v>35</v>
      </c>
      <c r="L308" s="1" t="s">
        <v>611</v>
      </c>
      <c r="M308" s="1" t="s">
        <v>163</v>
      </c>
      <c r="N308" s="5">
        <v>27.552000000000003</v>
      </c>
      <c r="O308" s="27">
        <v>3</v>
      </c>
      <c r="P308" s="5">
        <v>9.2987999999999964</v>
      </c>
      <c r="Q308" s="5">
        <v>9.1839999999999993</v>
      </c>
    </row>
    <row r="309" spans="1:17">
      <c r="A309" s="1">
        <v>299</v>
      </c>
      <c r="B309" s="1" t="s">
        <v>612</v>
      </c>
      <c r="C309" s="1">
        <v>142545</v>
      </c>
      <c r="D309" s="7">
        <v>42677</v>
      </c>
      <c r="E309" s="1" t="s">
        <v>333</v>
      </c>
      <c r="F309" s="1" t="s">
        <v>613</v>
      </c>
      <c r="G309" s="1" t="s">
        <v>447</v>
      </c>
      <c r="H309" s="1" t="s">
        <v>613</v>
      </c>
      <c r="I309" s="1" t="s">
        <v>95</v>
      </c>
      <c r="J309" s="1" t="s">
        <v>613</v>
      </c>
      <c r="K309" s="1" t="s">
        <v>35</v>
      </c>
      <c r="L309" s="1" t="s">
        <v>613</v>
      </c>
      <c r="M309" s="1" t="s">
        <v>63</v>
      </c>
      <c r="N309" s="5">
        <v>32.400000000000006</v>
      </c>
      <c r="O309" s="27">
        <v>5</v>
      </c>
      <c r="P309" s="5">
        <v>15.552000000000001</v>
      </c>
      <c r="Q309" s="5">
        <v>6.48</v>
      </c>
    </row>
    <row r="310" spans="1:17">
      <c r="A310" s="1">
        <v>300</v>
      </c>
      <c r="B310" s="1" t="s">
        <v>612</v>
      </c>
      <c r="C310" s="1">
        <v>142545</v>
      </c>
      <c r="D310" s="7">
        <v>42677</v>
      </c>
      <c r="E310" s="1" t="s">
        <v>333</v>
      </c>
      <c r="F310" s="1" t="s">
        <v>614</v>
      </c>
      <c r="G310" s="1" t="s">
        <v>447</v>
      </c>
      <c r="H310" s="1" t="s">
        <v>614</v>
      </c>
      <c r="I310" s="1" t="s">
        <v>95</v>
      </c>
      <c r="J310" s="1" t="s">
        <v>614</v>
      </c>
      <c r="K310" s="1" t="s">
        <v>35</v>
      </c>
      <c r="L310" s="1" t="s">
        <v>614</v>
      </c>
      <c r="M310" s="1" t="s">
        <v>43</v>
      </c>
      <c r="N310" s="5">
        <v>1082.48</v>
      </c>
      <c r="O310" s="27">
        <v>8</v>
      </c>
      <c r="P310" s="5">
        <v>10.824800000000096</v>
      </c>
      <c r="Q310" s="5">
        <v>135.31</v>
      </c>
    </row>
    <row r="311" spans="1:17">
      <c r="A311" s="1">
        <v>301</v>
      </c>
      <c r="B311" s="1" t="s">
        <v>612</v>
      </c>
      <c r="C311" s="1">
        <v>142545</v>
      </c>
      <c r="D311" s="7">
        <v>42677</v>
      </c>
      <c r="E311" s="1" t="s">
        <v>333</v>
      </c>
      <c r="F311" s="1" t="s">
        <v>615</v>
      </c>
      <c r="G311" s="1" t="s">
        <v>447</v>
      </c>
      <c r="H311" s="1" t="s">
        <v>615</v>
      </c>
      <c r="I311" s="1" t="s">
        <v>95</v>
      </c>
      <c r="J311" s="1" t="s">
        <v>615</v>
      </c>
      <c r="K311" s="1" t="s">
        <v>35</v>
      </c>
      <c r="L311" s="1" t="s">
        <v>615</v>
      </c>
      <c r="M311" s="1" t="s">
        <v>63</v>
      </c>
      <c r="N311" s="5">
        <v>56.91</v>
      </c>
      <c r="O311" s="27">
        <v>3</v>
      </c>
      <c r="P311" s="5">
        <v>27.316799999999997</v>
      </c>
      <c r="Q311" s="5">
        <v>18.97</v>
      </c>
    </row>
    <row r="312" spans="1:17">
      <c r="A312" s="1">
        <v>302</v>
      </c>
      <c r="B312" s="1" t="s">
        <v>612</v>
      </c>
      <c r="C312" s="1">
        <v>142545</v>
      </c>
      <c r="D312" s="7">
        <v>42677</v>
      </c>
      <c r="E312" s="1" t="s">
        <v>333</v>
      </c>
      <c r="F312" s="1" t="s">
        <v>616</v>
      </c>
      <c r="G312" s="1" t="s">
        <v>447</v>
      </c>
      <c r="H312" s="1" t="s">
        <v>616</v>
      </c>
      <c r="I312" s="1" t="s">
        <v>95</v>
      </c>
      <c r="J312" s="1" t="s">
        <v>616</v>
      </c>
      <c r="K312" s="1" t="s">
        <v>26</v>
      </c>
      <c r="L312" s="1" t="s">
        <v>616</v>
      </c>
      <c r="M312" s="1" t="s">
        <v>47</v>
      </c>
      <c r="N312" s="5">
        <v>77.599999999999994</v>
      </c>
      <c r="O312" s="27">
        <v>4</v>
      </c>
      <c r="P312" s="5">
        <v>38.023999999999994</v>
      </c>
      <c r="Q312" s="5">
        <v>19.399999999999999</v>
      </c>
    </row>
    <row r="313" spans="1:17">
      <c r="A313" s="1">
        <v>303</v>
      </c>
      <c r="B313" s="1" t="s">
        <v>612</v>
      </c>
      <c r="C313" s="1">
        <v>142545</v>
      </c>
      <c r="D313" s="7">
        <v>42677</v>
      </c>
      <c r="E313" s="1" t="s">
        <v>333</v>
      </c>
      <c r="F313" s="1" t="s">
        <v>617</v>
      </c>
      <c r="G313" s="1" t="s">
        <v>447</v>
      </c>
      <c r="H313" s="1" t="s">
        <v>617</v>
      </c>
      <c r="I313" s="1" t="s">
        <v>95</v>
      </c>
      <c r="J313" s="1" t="s">
        <v>617</v>
      </c>
      <c r="K313" s="1" t="s">
        <v>35</v>
      </c>
      <c r="L313" s="1" t="s">
        <v>617</v>
      </c>
      <c r="M313" s="1" t="s">
        <v>54</v>
      </c>
      <c r="N313" s="5">
        <v>14.28</v>
      </c>
      <c r="O313" s="27">
        <v>1</v>
      </c>
      <c r="P313" s="5">
        <v>6.5687999999999995</v>
      </c>
      <c r="Q313" s="5">
        <v>14.28</v>
      </c>
    </row>
    <row r="314" spans="1:17">
      <c r="A314" s="1">
        <v>304</v>
      </c>
      <c r="B314" s="1" t="s">
        <v>618</v>
      </c>
      <c r="C314" s="1">
        <v>152380</v>
      </c>
      <c r="D314" s="7">
        <v>43062</v>
      </c>
      <c r="E314" s="1" t="s">
        <v>486</v>
      </c>
      <c r="F314" s="1" t="s">
        <v>619</v>
      </c>
      <c r="G314" s="1" t="s">
        <v>129</v>
      </c>
      <c r="H314" s="1" t="s">
        <v>619</v>
      </c>
      <c r="I314" s="1" t="s">
        <v>71</v>
      </c>
      <c r="J314" s="1" t="s">
        <v>619</v>
      </c>
      <c r="K314" s="1" t="s">
        <v>26</v>
      </c>
      <c r="L314" s="1" t="s">
        <v>619</v>
      </c>
      <c r="M314" s="1" t="s">
        <v>41</v>
      </c>
      <c r="N314" s="5">
        <v>219.07500000000002</v>
      </c>
      <c r="O314" s="27">
        <v>3</v>
      </c>
      <c r="P314" s="5">
        <v>-131.44500000000005</v>
      </c>
      <c r="Q314" s="5">
        <v>73.025000000000006</v>
      </c>
    </row>
    <row r="315" spans="1:17">
      <c r="A315" s="1">
        <v>305</v>
      </c>
      <c r="B315" s="1" t="s">
        <v>620</v>
      </c>
      <c r="C315" s="1">
        <v>144253</v>
      </c>
      <c r="D315" s="7">
        <v>42133</v>
      </c>
      <c r="E315" s="1" t="s">
        <v>621</v>
      </c>
      <c r="F315" s="1" t="s">
        <v>622</v>
      </c>
      <c r="G315" s="1" t="s">
        <v>161</v>
      </c>
      <c r="H315" s="1" t="s">
        <v>622</v>
      </c>
      <c r="I315" s="1" t="s">
        <v>95</v>
      </c>
      <c r="J315" s="1" t="s">
        <v>622</v>
      </c>
      <c r="K315" s="1" t="s">
        <v>26</v>
      </c>
      <c r="L315" s="1" t="s">
        <v>622</v>
      </c>
      <c r="M315" s="1" t="s">
        <v>47</v>
      </c>
      <c r="N315" s="5">
        <v>26.8</v>
      </c>
      <c r="O315" s="27">
        <v>2</v>
      </c>
      <c r="P315" s="5">
        <v>12.863999999999999</v>
      </c>
      <c r="Q315" s="5">
        <v>13.4</v>
      </c>
    </row>
    <row r="316" spans="1:17">
      <c r="A316" s="1">
        <v>306</v>
      </c>
      <c r="B316" s="1" t="s">
        <v>623</v>
      </c>
      <c r="C316" s="1">
        <v>130960</v>
      </c>
      <c r="D316" s="7">
        <v>42008</v>
      </c>
      <c r="E316" s="1" t="s">
        <v>203</v>
      </c>
      <c r="F316" s="1" t="s">
        <v>624</v>
      </c>
      <c r="G316" s="1" t="s">
        <v>144</v>
      </c>
      <c r="H316" s="1" t="s">
        <v>624</v>
      </c>
      <c r="I316" s="1" t="s">
        <v>71</v>
      </c>
      <c r="J316" s="1" t="s">
        <v>624</v>
      </c>
      <c r="K316" s="1" t="s">
        <v>35</v>
      </c>
      <c r="L316" s="1" t="s">
        <v>624</v>
      </c>
      <c r="M316" s="1" t="s">
        <v>49</v>
      </c>
      <c r="N316" s="5">
        <v>9.84</v>
      </c>
      <c r="O316" s="27">
        <v>3</v>
      </c>
      <c r="P316" s="5">
        <v>2.8535999999999988</v>
      </c>
      <c r="Q316" s="5">
        <v>3.28</v>
      </c>
    </row>
    <row r="317" spans="1:17">
      <c r="A317" s="1">
        <v>307</v>
      </c>
      <c r="B317" s="1" t="s">
        <v>625</v>
      </c>
      <c r="C317" s="1">
        <v>111003</v>
      </c>
      <c r="D317" s="7">
        <v>41796</v>
      </c>
      <c r="E317" s="1" t="s">
        <v>626</v>
      </c>
      <c r="F317" s="1" t="s">
        <v>627</v>
      </c>
      <c r="G317" s="1" t="s">
        <v>447</v>
      </c>
      <c r="H317" s="1" t="s">
        <v>627</v>
      </c>
      <c r="I317" s="1" t="s">
        <v>95</v>
      </c>
      <c r="J317" s="1" t="s">
        <v>627</v>
      </c>
      <c r="K317" s="1" t="s">
        <v>35</v>
      </c>
      <c r="L317" s="1" t="s">
        <v>627</v>
      </c>
      <c r="M317" s="1" t="s">
        <v>54</v>
      </c>
      <c r="N317" s="5">
        <v>45.480000000000004</v>
      </c>
      <c r="O317" s="27">
        <v>3</v>
      </c>
      <c r="P317" s="5">
        <v>20.9208</v>
      </c>
      <c r="Q317" s="5">
        <v>15.16</v>
      </c>
    </row>
    <row r="318" spans="1:17">
      <c r="A318" s="1">
        <v>308</v>
      </c>
      <c r="B318" s="1" t="s">
        <v>625</v>
      </c>
      <c r="C318" s="1">
        <v>111003</v>
      </c>
      <c r="D318" s="7">
        <v>41796</v>
      </c>
      <c r="E318" s="1" t="s">
        <v>626</v>
      </c>
      <c r="F318" s="1" t="s">
        <v>628</v>
      </c>
      <c r="G318" s="1" t="s">
        <v>447</v>
      </c>
      <c r="H318" s="1" t="s">
        <v>628</v>
      </c>
      <c r="I318" s="1" t="s">
        <v>95</v>
      </c>
      <c r="J318" s="1" t="s">
        <v>628</v>
      </c>
      <c r="K318" s="1" t="s">
        <v>35</v>
      </c>
      <c r="L318" s="1" t="s">
        <v>628</v>
      </c>
      <c r="M318" s="1" t="s">
        <v>49</v>
      </c>
      <c r="N318" s="5">
        <v>289.20000000000005</v>
      </c>
      <c r="O318" s="27">
        <v>6</v>
      </c>
      <c r="P318" s="5">
        <v>83.867999999999967</v>
      </c>
      <c r="Q318" s="5">
        <v>48.2</v>
      </c>
    </row>
    <row r="319" spans="1:17">
      <c r="A319" s="1">
        <v>309</v>
      </c>
      <c r="B319" s="1" t="s">
        <v>629</v>
      </c>
      <c r="C319" s="1">
        <v>126774</v>
      </c>
      <c r="D319" s="7">
        <v>42842</v>
      </c>
      <c r="E319" s="1" t="s">
        <v>630</v>
      </c>
      <c r="F319" s="1" t="s">
        <v>631</v>
      </c>
      <c r="G319" s="1" t="s">
        <v>189</v>
      </c>
      <c r="H319" s="1" t="s">
        <v>631</v>
      </c>
      <c r="I319" s="1" t="s">
        <v>24</v>
      </c>
      <c r="J319" s="1" t="s">
        <v>631</v>
      </c>
      <c r="K319" s="1" t="s">
        <v>35</v>
      </c>
      <c r="L319" s="1" t="s">
        <v>631</v>
      </c>
      <c r="M319" s="1" t="s">
        <v>49</v>
      </c>
      <c r="N319" s="5">
        <v>4.8899999999999997</v>
      </c>
      <c r="O319" s="27">
        <v>1</v>
      </c>
      <c r="P319" s="5">
        <v>2.0049000000000001</v>
      </c>
      <c r="Q319" s="5">
        <v>4.8899999999999997</v>
      </c>
    </row>
    <row r="320" spans="1:17">
      <c r="A320" s="1">
        <v>310</v>
      </c>
      <c r="B320" s="1" t="s">
        <v>632</v>
      </c>
      <c r="C320" s="1">
        <v>142902</v>
      </c>
      <c r="D320" s="7">
        <v>42627</v>
      </c>
      <c r="E320" s="1" t="s">
        <v>633</v>
      </c>
      <c r="F320" s="1" t="s">
        <v>634</v>
      </c>
      <c r="G320" s="1" t="s">
        <v>266</v>
      </c>
      <c r="H320" s="1" t="s">
        <v>634</v>
      </c>
      <c r="I320" s="1" t="s">
        <v>33</v>
      </c>
      <c r="J320" s="1" t="s">
        <v>634</v>
      </c>
      <c r="K320" s="1" t="s">
        <v>26</v>
      </c>
      <c r="L320" s="1" t="s">
        <v>634</v>
      </c>
      <c r="M320" s="1" t="s">
        <v>47</v>
      </c>
      <c r="N320" s="5">
        <v>15.136000000000003</v>
      </c>
      <c r="O320" s="27">
        <v>4</v>
      </c>
      <c r="P320" s="5">
        <v>3.5948000000000011</v>
      </c>
      <c r="Q320" s="5">
        <v>3.7839999999999998</v>
      </c>
    </row>
    <row r="321" spans="1:17">
      <c r="A321" s="1">
        <v>311</v>
      </c>
      <c r="B321" s="1" t="s">
        <v>632</v>
      </c>
      <c r="C321" s="1">
        <v>142902</v>
      </c>
      <c r="D321" s="7">
        <v>42627</v>
      </c>
      <c r="E321" s="1" t="s">
        <v>633</v>
      </c>
      <c r="F321" s="1" t="s">
        <v>635</v>
      </c>
      <c r="G321" s="1" t="s">
        <v>266</v>
      </c>
      <c r="H321" s="1" t="s">
        <v>635</v>
      </c>
      <c r="I321" s="1" t="s">
        <v>33</v>
      </c>
      <c r="J321" s="1" t="s">
        <v>635</v>
      </c>
      <c r="K321" s="1" t="s">
        <v>26</v>
      </c>
      <c r="L321" s="1" t="s">
        <v>635</v>
      </c>
      <c r="M321" s="1" t="s">
        <v>29</v>
      </c>
      <c r="N321" s="5">
        <v>466.76800000000003</v>
      </c>
      <c r="O321" s="27">
        <v>2</v>
      </c>
      <c r="P321" s="5">
        <v>52.511399999999981</v>
      </c>
      <c r="Q321" s="5">
        <v>233.38399999999999</v>
      </c>
    </row>
    <row r="322" spans="1:17">
      <c r="A322" s="1">
        <v>312</v>
      </c>
      <c r="B322" s="1" t="s">
        <v>632</v>
      </c>
      <c r="C322" s="1">
        <v>142902</v>
      </c>
      <c r="D322" s="7">
        <v>42627</v>
      </c>
      <c r="E322" s="1" t="s">
        <v>633</v>
      </c>
      <c r="F322" s="1" t="s">
        <v>636</v>
      </c>
      <c r="G322" s="1" t="s">
        <v>266</v>
      </c>
      <c r="H322" s="1" t="s">
        <v>636</v>
      </c>
      <c r="I322" s="1" t="s">
        <v>33</v>
      </c>
      <c r="J322" s="1" t="s">
        <v>636</v>
      </c>
      <c r="K322" s="1" t="s">
        <v>26</v>
      </c>
      <c r="L322" s="1" t="s">
        <v>636</v>
      </c>
      <c r="M322" s="1" t="s">
        <v>47</v>
      </c>
      <c r="N322" s="5">
        <v>15.231999999999999</v>
      </c>
      <c r="O322" s="27">
        <v>1</v>
      </c>
      <c r="P322" s="5">
        <v>1.7135999999999978</v>
      </c>
      <c r="Q322" s="5">
        <v>15.231999999999999</v>
      </c>
    </row>
    <row r="323" spans="1:17">
      <c r="A323" s="1">
        <v>313</v>
      </c>
      <c r="B323" s="1" t="s">
        <v>632</v>
      </c>
      <c r="C323" s="1">
        <v>142902</v>
      </c>
      <c r="D323" s="7">
        <v>42627</v>
      </c>
      <c r="E323" s="1" t="s">
        <v>633</v>
      </c>
      <c r="F323" s="1" t="s">
        <v>637</v>
      </c>
      <c r="G323" s="1" t="s">
        <v>266</v>
      </c>
      <c r="H323" s="1" t="s">
        <v>637</v>
      </c>
      <c r="I323" s="1" t="s">
        <v>33</v>
      </c>
      <c r="J323" s="1" t="s">
        <v>637</v>
      </c>
      <c r="K323" s="1" t="s">
        <v>35</v>
      </c>
      <c r="L323" s="1" t="s">
        <v>637</v>
      </c>
      <c r="M323" s="1" t="s">
        <v>36</v>
      </c>
      <c r="N323" s="5">
        <v>6.2640000000000002</v>
      </c>
      <c r="O323" s="27">
        <v>3</v>
      </c>
      <c r="P323" s="5">
        <v>2.0358000000000001</v>
      </c>
      <c r="Q323" s="5">
        <v>2.0880000000000001</v>
      </c>
    </row>
    <row r="324" spans="1:17">
      <c r="A324" s="1">
        <v>314</v>
      </c>
      <c r="B324" s="1" t="s">
        <v>638</v>
      </c>
      <c r="C324" s="1">
        <v>120887</v>
      </c>
      <c r="D324" s="7">
        <v>41915</v>
      </c>
      <c r="E324" s="1" t="s">
        <v>639</v>
      </c>
      <c r="F324" s="1" t="s">
        <v>640</v>
      </c>
      <c r="G324" s="1" t="s">
        <v>447</v>
      </c>
      <c r="H324" s="1" t="s">
        <v>640</v>
      </c>
      <c r="I324" s="1" t="s">
        <v>95</v>
      </c>
      <c r="J324" s="1" t="s">
        <v>640</v>
      </c>
      <c r="K324" s="1" t="s">
        <v>26</v>
      </c>
      <c r="L324" s="1" t="s">
        <v>640</v>
      </c>
      <c r="M324" s="1" t="s">
        <v>47</v>
      </c>
      <c r="N324" s="5">
        <v>87.539999999999992</v>
      </c>
      <c r="O324" s="27">
        <v>3</v>
      </c>
      <c r="P324" s="5">
        <v>37.642200000000003</v>
      </c>
      <c r="Q324" s="5">
        <v>29.18</v>
      </c>
    </row>
    <row r="325" spans="1:17">
      <c r="A325" s="1">
        <v>315</v>
      </c>
      <c r="B325" s="1" t="s">
        <v>641</v>
      </c>
      <c r="C325" s="1">
        <v>167850</v>
      </c>
      <c r="D325" s="7">
        <v>41867</v>
      </c>
      <c r="E325" s="1" t="s">
        <v>642</v>
      </c>
      <c r="F325" s="1" t="s">
        <v>643</v>
      </c>
      <c r="G325" s="1" t="s">
        <v>39</v>
      </c>
      <c r="H325" s="1" t="s">
        <v>643</v>
      </c>
      <c r="I325" s="1" t="s">
        <v>24</v>
      </c>
      <c r="J325" s="1" t="s">
        <v>643</v>
      </c>
      <c r="K325" s="1" t="s">
        <v>51</v>
      </c>
      <c r="L325" s="1" t="s">
        <v>643</v>
      </c>
      <c r="M325" s="1" t="s">
        <v>52</v>
      </c>
      <c r="N325" s="5">
        <v>178.38400000000001</v>
      </c>
      <c r="O325" s="27">
        <v>2</v>
      </c>
      <c r="P325" s="5">
        <v>22.297999999999973</v>
      </c>
      <c r="Q325" s="5">
        <v>89.191999999999993</v>
      </c>
    </row>
    <row r="326" spans="1:17">
      <c r="A326" s="1">
        <v>316</v>
      </c>
      <c r="B326" s="1" t="s">
        <v>641</v>
      </c>
      <c r="C326" s="1">
        <v>167850</v>
      </c>
      <c r="D326" s="7">
        <v>41867</v>
      </c>
      <c r="E326" s="1" t="s">
        <v>642</v>
      </c>
      <c r="F326" s="1" t="s">
        <v>644</v>
      </c>
      <c r="G326" s="1" t="s">
        <v>39</v>
      </c>
      <c r="H326" s="1" t="s">
        <v>644</v>
      </c>
      <c r="I326" s="1" t="s">
        <v>24</v>
      </c>
      <c r="J326" s="1" t="s">
        <v>644</v>
      </c>
      <c r="K326" s="1" t="s">
        <v>35</v>
      </c>
      <c r="L326" s="1" t="s">
        <v>644</v>
      </c>
      <c r="M326" s="1" t="s">
        <v>63</v>
      </c>
      <c r="N326" s="5">
        <v>15.552000000000003</v>
      </c>
      <c r="O326" s="27">
        <v>3</v>
      </c>
      <c r="P326" s="5">
        <v>5.4432</v>
      </c>
      <c r="Q326" s="5">
        <v>5.1840000000000002</v>
      </c>
    </row>
    <row r="327" spans="1:17">
      <c r="A327" s="1">
        <v>317</v>
      </c>
      <c r="B327" s="1" t="s">
        <v>645</v>
      </c>
      <c r="C327" s="1">
        <v>164259</v>
      </c>
      <c r="D327" s="7">
        <v>42003</v>
      </c>
      <c r="E327" s="1" t="s">
        <v>646</v>
      </c>
      <c r="F327" s="1" t="s">
        <v>647</v>
      </c>
      <c r="G327" s="1" t="s">
        <v>94</v>
      </c>
      <c r="H327" s="1" t="s">
        <v>647</v>
      </c>
      <c r="I327" s="1" t="s">
        <v>95</v>
      </c>
      <c r="J327" s="1" t="s">
        <v>647</v>
      </c>
      <c r="K327" s="1" t="s">
        <v>35</v>
      </c>
      <c r="L327" s="1" t="s">
        <v>647</v>
      </c>
      <c r="M327" s="1" t="s">
        <v>49</v>
      </c>
      <c r="N327" s="5">
        <v>99.13600000000001</v>
      </c>
      <c r="O327" s="27">
        <v>4</v>
      </c>
      <c r="P327" s="5">
        <v>8.674399999999995</v>
      </c>
      <c r="Q327" s="5">
        <v>24.783999999999999</v>
      </c>
    </row>
    <row r="328" spans="1:17">
      <c r="A328" s="1">
        <v>318</v>
      </c>
      <c r="B328" s="1" t="s">
        <v>648</v>
      </c>
      <c r="C328" s="1">
        <v>164973</v>
      </c>
      <c r="D328" s="7">
        <v>41952</v>
      </c>
      <c r="E328" s="1" t="s">
        <v>649</v>
      </c>
      <c r="F328" s="1" t="s">
        <v>650</v>
      </c>
      <c r="G328" s="1" t="s">
        <v>161</v>
      </c>
      <c r="H328" s="1" t="s">
        <v>650</v>
      </c>
      <c r="I328" s="1" t="s">
        <v>95</v>
      </c>
      <c r="J328" s="1" t="s">
        <v>650</v>
      </c>
      <c r="K328" s="1" t="s">
        <v>26</v>
      </c>
      <c r="L328" s="1" t="s">
        <v>650</v>
      </c>
      <c r="M328" s="1" t="s">
        <v>29</v>
      </c>
      <c r="N328" s="5">
        <v>135.88200000000001</v>
      </c>
      <c r="O328" s="27">
        <v>1</v>
      </c>
      <c r="P328" s="5">
        <v>24.156800000000004</v>
      </c>
      <c r="Q328" s="5">
        <v>135.88200000000001</v>
      </c>
    </row>
    <row r="329" spans="1:17">
      <c r="A329" s="1">
        <v>319</v>
      </c>
      <c r="B329" s="1" t="s">
        <v>648</v>
      </c>
      <c r="C329" s="1">
        <v>164973</v>
      </c>
      <c r="D329" s="7">
        <v>41952</v>
      </c>
      <c r="E329" s="1" t="s">
        <v>649</v>
      </c>
      <c r="F329" s="1" t="s">
        <v>651</v>
      </c>
      <c r="G329" s="1" t="s">
        <v>161</v>
      </c>
      <c r="H329" s="1" t="s">
        <v>651</v>
      </c>
      <c r="I329" s="1" t="s">
        <v>95</v>
      </c>
      <c r="J329" s="1" t="s">
        <v>651</v>
      </c>
      <c r="K329" s="1" t="s">
        <v>51</v>
      </c>
      <c r="L329" s="1" t="s">
        <v>651</v>
      </c>
      <c r="M329" s="1" t="s">
        <v>389</v>
      </c>
      <c r="N329" s="5">
        <v>3991.98</v>
      </c>
      <c r="O329" s="27">
        <v>2</v>
      </c>
      <c r="P329" s="5">
        <v>1995.99</v>
      </c>
      <c r="Q329" s="5">
        <v>1995.99</v>
      </c>
    </row>
    <row r="330" spans="1:17">
      <c r="A330" s="1">
        <v>320</v>
      </c>
      <c r="B330" s="1" t="s">
        <v>648</v>
      </c>
      <c r="C330" s="1">
        <v>164973</v>
      </c>
      <c r="D330" s="7">
        <v>41952</v>
      </c>
      <c r="E330" s="1" t="s">
        <v>649</v>
      </c>
      <c r="F330" s="1" t="s">
        <v>130</v>
      </c>
      <c r="G330" s="1" t="s">
        <v>161</v>
      </c>
      <c r="H330" s="1" t="s">
        <v>130</v>
      </c>
      <c r="I330" s="1" t="s">
        <v>95</v>
      </c>
      <c r="J330" s="1" t="s">
        <v>130</v>
      </c>
      <c r="K330" s="1" t="s">
        <v>51</v>
      </c>
      <c r="L330" s="1" t="s">
        <v>130</v>
      </c>
      <c r="M330" s="1" t="s">
        <v>52</v>
      </c>
      <c r="N330" s="5">
        <v>275.94</v>
      </c>
      <c r="O330" s="27">
        <v>6</v>
      </c>
      <c r="P330" s="5">
        <v>80.022599999999997</v>
      </c>
      <c r="Q330" s="5">
        <v>45.99</v>
      </c>
    </row>
    <row r="331" spans="1:17">
      <c r="A331" s="1">
        <v>321</v>
      </c>
      <c r="B331" s="1" t="s">
        <v>648</v>
      </c>
      <c r="C331" s="1">
        <v>164973</v>
      </c>
      <c r="D331" s="7">
        <v>41952</v>
      </c>
      <c r="E331" s="1" t="s">
        <v>649</v>
      </c>
      <c r="F331" s="1" t="s">
        <v>652</v>
      </c>
      <c r="G331" s="1" t="s">
        <v>161</v>
      </c>
      <c r="H331" s="1" t="s">
        <v>652</v>
      </c>
      <c r="I331" s="1" t="s">
        <v>95</v>
      </c>
      <c r="J331" s="1" t="s">
        <v>652</v>
      </c>
      <c r="K331" s="1" t="s">
        <v>51</v>
      </c>
      <c r="L331" s="1" t="s">
        <v>652</v>
      </c>
      <c r="M331" s="1" t="s">
        <v>103</v>
      </c>
      <c r="N331" s="5">
        <v>360</v>
      </c>
      <c r="O331" s="27">
        <v>4</v>
      </c>
      <c r="P331" s="5">
        <v>129.6</v>
      </c>
      <c r="Q331" s="5" t="s">
        <v>653</v>
      </c>
    </row>
    <row r="332" spans="1:17">
      <c r="A332" s="1">
        <v>322</v>
      </c>
      <c r="B332" s="1" t="s">
        <v>648</v>
      </c>
      <c r="C332" s="1">
        <v>164973</v>
      </c>
      <c r="D332" s="7">
        <v>41952</v>
      </c>
      <c r="E332" s="1" t="s">
        <v>649</v>
      </c>
      <c r="F332" s="1" t="s">
        <v>314</v>
      </c>
      <c r="G332" s="1" t="s">
        <v>161</v>
      </c>
      <c r="H332" s="1" t="s">
        <v>314</v>
      </c>
      <c r="I332" s="1" t="s">
        <v>95</v>
      </c>
      <c r="J332" s="1" t="s">
        <v>314</v>
      </c>
      <c r="K332" s="1" t="s">
        <v>35</v>
      </c>
      <c r="L332" s="1" t="s">
        <v>314</v>
      </c>
      <c r="M332" s="1" t="s">
        <v>43</v>
      </c>
      <c r="N332" s="5">
        <v>43.57</v>
      </c>
      <c r="O332" s="27">
        <v>1</v>
      </c>
      <c r="P332" s="5">
        <v>13.070999999999998</v>
      </c>
      <c r="Q332" s="5">
        <v>43.57</v>
      </c>
    </row>
    <row r="333" spans="1:17">
      <c r="A333" s="1">
        <v>323</v>
      </c>
      <c r="B333" s="1" t="s">
        <v>654</v>
      </c>
      <c r="C333" s="1">
        <v>156601</v>
      </c>
      <c r="D333" s="7">
        <v>41906</v>
      </c>
      <c r="E333" s="1" t="s">
        <v>655</v>
      </c>
      <c r="F333" s="1" t="s">
        <v>656</v>
      </c>
      <c r="G333" s="1" t="s">
        <v>32</v>
      </c>
      <c r="H333" s="1" t="s">
        <v>656</v>
      </c>
      <c r="I333" s="1" t="s">
        <v>33</v>
      </c>
      <c r="J333" s="1" t="s">
        <v>656</v>
      </c>
      <c r="K333" s="1" t="s">
        <v>35</v>
      </c>
      <c r="L333" s="1" t="s">
        <v>656</v>
      </c>
      <c r="M333" s="1" t="s">
        <v>163</v>
      </c>
      <c r="N333" s="5">
        <v>7.16</v>
      </c>
      <c r="O333" s="27">
        <v>2</v>
      </c>
      <c r="P333" s="5">
        <v>3.58</v>
      </c>
      <c r="Q333" s="5">
        <v>3.58</v>
      </c>
    </row>
    <row r="334" spans="1:17">
      <c r="A334" s="1">
        <v>324</v>
      </c>
      <c r="B334" s="1" t="s">
        <v>657</v>
      </c>
      <c r="C334" s="1">
        <v>162138</v>
      </c>
      <c r="D334" s="7">
        <v>42487</v>
      </c>
      <c r="E334" s="1" t="s">
        <v>658</v>
      </c>
      <c r="F334" s="1" t="s">
        <v>610</v>
      </c>
      <c r="G334" s="1" t="s">
        <v>32</v>
      </c>
      <c r="H334" s="1" t="s">
        <v>610</v>
      </c>
      <c r="I334" s="1" t="s">
        <v>33</v>
      </c>
      <c r="J334" s="1" t="s">
        <v>610</v>
      </c>
      <c r="K334" s="1" t="s">
        <v>35</v>
      </c>
      <c r="L334" s="1" t="s">
        <v>610</v>
      </c>
      <c r="M334" s="1" t="s">
        <v>54</v>
      </c>
      <c r="N334" s="5">
        <v>251.52</v>
      </c>
      <c r="O334" s="27">
        <v>6</v>
      </c>
      <c r="P334" s="5">
        <v>81.744</v>
      </c>
      <c r="Q334" s="5">
        <v>41.92</v>
      </c>
    </row>
    <row r="335" spans="1:17">
      <c r="A335" s="1">
        <v>325</v>
      </c>
      <c r="B335" s="1" t="s">
        <v>657</v>
      </c>
      <c r="C335" s="1">
        <v>162138</v>
      </c>
      <c r="D335" s="7">
        <v>42487</v>
      </c>
      <c r="E335" s="1" t="s">
        <v>658</v>
      </c>
      <c r="F335" s="1" t="s">
        <v>659</v>
      </c>
      <c r="G335" s="1" t="s">
        <v>32</v>
      </c>
      <c r="H335" s="1" t="s">
        <v>659</v>
      </c>
      <c r="I335" s="1" t="s">
        <v>33</v>
      </c>
      <c r="J335" s="1" t="s">
        <v>659</v>
      </c>
      <c r="K335" s="1" t="s">
        <v>51</v>
      </c>
      <c r="L335" s="1" t="s">
        <v>659</v>
      </c>
      <c r="M335" s="1" t="s">
        <v>103</v>
      </c>
      <c r="N335" s="5">
        <v>99.99</v>
      </c>
      <c r="O335" s="27">
        <v>1</v>
      </c>
      <c r="P335" s="5">
        <v>34.996499999999997</v>
      </c>
      <c r="Q335" s="5">
        <v>99.99</v>
      </c>
    </row>
    <row r="336" spans="1:17">
      <c r="A336" s="1">
        <v>326</v>
      </c>
      <c r="B336" s="1" t="s">
        <v>660</v>
      </c>
      <c r="C336" s="1">
        <v>153339</v>
      </c>
      <c r="D336" s="7">
        <v>43044</v>
      </c>
      <c r="E336" s="1" t="s">
        <v>661</v>
      </c>
      <c r="F336" s="1" t="s">
        <v>662</v>
      </c>
      <c r="G336" s="1" t="s">
        <v>198</v>
      </c>
      <c r="H336" s="1" t="s">
        <v>662</v>
      </c>
      <c r="I336" s="1" t="s">
        <v>24</v>
      </c>
      <c r="J336" s="1" t="s">
        <v>662</v>
      </c>
      <c r="K336" s="1" t="s">
        <v>26</v>
      </c>
      <c r="L336" s="1" t="s">
        <v>662</v>
      </c>
      <c r="M336" s="1" t="s">
        <v>47</v>
      </c>
      <c r="N336" s="5">
        <v>15.991999999999999</v>
      </c>
      <c r="O336" s="27">
        <v>1</v>
      </c>
      <c r="P336" s="5">
        <v>0.99949999999999894</v>
      </c>
      <c r="Q336" s="5">
        <v>15.992000000000001</v>
      </c>
    </row>
    <row r="337" spans="1:17">
      <c r="A337" s="1">
        <v>327</v>
      </c>
      <c r="B337" s="1" t="s">
        <v>663</v>
      </c>
      <c r="C337" s="1">
        <v>141544</v>
      </c>
      <c r="D337" s="7">
        <v>42614</v>
      </c>
      <c r="E337" s="1" t="s">
        <v>664</v>
      </c>
      <c r="F337" s="1" t="s">
        <v>665</v>
      </c>
      <c r="G337" s="1" t="s">
        <v>94</v>
      </c>
      <c r="H337" s="1" t="s">
        <v>665</v>
      </c>
      <c r="I337" s="1" t="s">
        <v>95</v>
      </c>
      <c r="J337" s="1" t="s">
        <v>665</v>
      </c>
      <c r="K337" s="1" t="s">
        <v>51</v>
      </c>
      <c r="L337" s="1" t="s">
        <v>665</v>
      </c>
      <c r="M337" s="1" t="s">
        <v>52</v>
      </c>
      <c r="N337" s="5">
        <v>290.89800000000002</v>
      </c>
      <c r="O337" s="27">
        <v>3</v>
      </c>
      <c r="P337" s="5">
        <v>-67.876199999999997</v>
      </c>
      <c r="Q337" s="5">
        <v>96.965999999999994</v>
      </c>
    </row>
    <row r="338" spans="1:17">
      <c r="A338" s="1">
        <v>328</v>
      </c>
      <c r="B338" s="1" t="s">
        <v>663</v>
      </c>
      <c r="C338" s="1">
        <v>141544</v>
      </c>
      <c r="D338" s="7">
        <v>42614</v>
      </c>
      <c r="E338" s="1" t="s">
        <v>664</v>
      </c>
      <c r="F338" s="1" t="s">
        <v>666</v>
      </c>
      <c r="G338" s="1" t="s">
        <v>94</v>
      </c>
      <c r="H338" s="1" t="s">
        <v>666</v>
      </c>
      <c r="I338" s="1" t="s">
        <v>95</v>
      </c>
      <c r="J338" s="1" t="s">
        <v>666</v>
      </c>
      <c r="K338" s="1" t="s">
        <v>35</v>
      </c>
      <c r="L338" s="1" t="s">
        <v>666</v>
      </c>
      <c r="M338" s="1" t="s">
        <v>43</v>
      </c>
      <c r="N338" s="5">
        <v>54.224000000000004</v>
      </c>
      <c r="O338" s="27">
        <v>2</v>
      </c>
      <c r="P338" s="5">
        <v>3.3889999999999993</v>
      </c>
      <c r="Q338" s="5">
        <v>27.111999999999998</v>
      </c>
    </row>
    <row r="339" spans="1:17">
      <c r="A339" s="1">
        <v>329</v>
      </c>
      <c r="B339" s="1" t="s">
        <v>663</v>
      </c>
      <c r="C339" s="1">
        <v>141544</v>
      </c>
      <c r="D339" s="7">
        <v>42614</v>
      </c>
      <c r="E339" s="1" t="s">
        <v>664</v>
      </c>
      <c r="F339" s="1" t="s">
        <v>667</v>
      </c>
      <c r="G339" s="1" t="s">
        <v>94</v>
      </c>
      <c r="H339" s="1" t="s">
        <v>667</v>
      </c>
      <c r="I339" s="1" t="s">
        <v>95</v>
      </c>
      <c r="J339" s="1" t="s">
        <v>667</v>
      </c>
      <c r="K339" s="1" t="s">
        <v>26</v>
      </c>
      <c r="L339" s="1" t="s">
        <v>667</v>
      </c>
      <c r="M339" s="1" t="s">
        <v>29</v>
      </c>
      <c r="N339" s="5">
        <v>786.74400000000003</v>
      </c>
      <c r="O339" s="27">
        <v>4</v>
      </c>
      <c r="P339" s="5">
        <v>-258.50160000000011</v>
      </c>
      <c r="Q339" s="5">
        <v>196.68600000000001</v>
      </c>
    </row>
    <row r="340" spans="1:17">
      <c r="A340" s="1">
        <v>330</v>
      </c>
      <c r="B340" s="1" t="s">
        <v>663</v>
      </c>
      <c r="C340" s="1">
        <v>141544</v>
      </c>
      <c r="D340" s="7">
        <v>42614</v>
      </c>
      <c r="E340" s="1" t="s">
        <v>664</v>
      </c>
      <c r="F340" s="1" t="s">
        <v>668</v>
      </c>
      <c r="G340" s="1" t="s">
        <v>94</v>
      </c>
      <c r="H340" s="1" t="s">
        <v>668</v>
      </c>
      <c r="I340" s="1" t="s">
        <v>95</v>
      </c>
      <c r="J340" s="1" t="s">
        <v>668</v>
      </c>
      <c r="K340" s="1" t="s">
        <v>35</v>
      </c>
      <c r="L340" s="1" t="s">
        <v>668</v>
      </c>
      <c r="M340" s="1" t="s">
        <v>36</v>
      </c>
      <c r="N340" s="5">
        <v>100.24000000000001</v>
      </c>
      <c r="O340" s="27">
        <v>10</v>
      </c>
      <c r="P340" s="5">
        <v>33.830999999999989</v>
      </c>
      <c r="Q340" s="5">
        <v>10.023999999999999</v>
      </c>
    </row>
    <row r="341" spans="1:17">
      <c r="A341" s="1">
        <v>331</v>
      </c>
      <c r="B341" s="1" t="s">
        <v>663</v>
      </c>
      <c r="C341" s="1">
        <v>141544</v>
      </c>
      <c r="D341" s="7">
        <v>42614</v>
      </c>
      <c r="E341" s="1" t="s">
        <v>664</v>
      </c>
      <c r="F341" s="1" t="s">
        <v>669</v>
      </c>
      <c r="G341" s="1" t="s">
        <v>94</v>
      </c>
      <c r="H341" s="1" t="s">
        <v>669</v>
      </c>
      <c r="I341" s="1" t="s">
        <v>95</v>
      </c>
      <c r="J341" s="1" t="s">
        <v>669</v>
      </c>
      <c r="K341" s="1" t="s">
        <v>35</v>
      </c>
      <c r="L341" s="1" t="s">
        <v>669</v>
      </c>
      <c r="M341" s="1" t="s">
        <v>54</v>
      </c>
      <c r="N341" s="5">
        <v>37.76400000000001</v>
      </c>
      <c r="O341" s="27">
        <v>6</v>
      </c>
      <c r="P341" s="5">
        <v>-27.693600000000004</v>
      </c>
      <c r="Q341" s="5">
        <v>6.2939999999999996</v>
      </c>
    </row>
    <row r="342" spans="1:17">
      <c r="A342" s="1">
        <v>332</v>
      </c>
      <c r="B342" s="1" t="s">
        <v>670</v>
      </c>
      <c r="C342" s="1">
        <v>150147</v>
      </c>
      <c r="D342" s="7">
        <v>42489</v>
      </c>
      <c r="E342" s="1" t="s">
        <v>671</v>
      </c>
      <c r="F342" s="1" t="s">
        <v>672</v>
      </c>
      <c r="G342" s="1" t="s">
        <v>94</v>
      </c>
      <c r="H342" s="1" t="s">
        <v>672</v>
      </c>
      <c r="I342" s="1" t="s">
        <v>95</v>
      </c>
      <c r="J342" s="1" t="s">
        <v>672</v>
      </c>
      <c r="K342" s="1" t="s">
        <v>51</v>
      </c>
      <c r="L342" s="1" t="s">
        <v>672</v>
      </c>
      <c r="M342" s="1" t="s">
        <v>52</v>
      </c>
      <c r="N342" s="5">
        <v>82.8</v>
      </c>
      <c r="O342" s="27">
        <v>2</v>
      </c>
      <c r="P342" s="5">
        <v>-20.700000000000003</v>
      </c>
      <c r="Q342" s="5">
        <v>41.4</v>
      </c>
    </row>
    <row r="343" spans="1:17">
      <c r="A343" s="1">
        <v>333</v>
      </c>
      <c r="B343" s="1" t="s">
        <v>670</v>
      </c>
      <c r="C343" s="1">
        <v>150147</v>
      </c>
      <c r="D343" s="7">
        <v>42489</v>
      </c>
      <c r="E343" s="1" t="s">
        <v>671</v>
      </c>
      <c r="F343" s="1" t="s">
        <v>673</v>
      </c>
      <c r="G343" s="1" t="s">
        <v>94</v>
      </c>
      <c r="H343" s="1" t="s">
        <v>673</v>
      </c>
      <c r="I343" s="1" t="s">
        <v>95</v>
      </c>
      <c r="J343" s="1" t="s">
        <v>673</v>
      </c>
      <c r="K343" s="1" t="s">
        <v>35</v>
      </c>
      <c r="L343" s="1" t="s">
        <v>673</v>
      </c>
      <c r="M343" s="1" t="s">
        <v>54</v>
      </c>
      <c r="N343" s="5">
        <v>20.724000000000004</v>
      </c>
      <c r="O343" s="27">
        <v>2</v>
      </c>
      <c r="P343" s="5">
        <v>-13.815999999999995</v>
      </c>
      <c r="Q343" s="5">
        <v>10.362</v>
      </c>
    </row>
    <row r="344" spans="1:17">
      <c r="A344" s="1">
        <v>334</v>
      </c>
      <c r="B344" s="1" t="s">
        <v>670</v>
      </c>
      <c r="C344" s="1">
        <v>150147</v>
      </c>
      <c r="D344" s="7">
        <v>42489</v>
      </c>
      <c r="E344" s="1" t="s">
        <v>671</v>
      </c>
      <c r="F344" s="1" t="s">
        <v>674</v>
      </c>
      <c r="G344" s="1" t="s">
        <v>94</v>
      </c>
      <c r="H344" s="1" t="s">
        <v>674</v>
      </c>
      <c r="I344" s="1" t="s">
        <v>95</v>
      </c>
      <c r="J344" s="1" t="s">
        <v>674</v>
      </c>
      <c r="K344" s="1" t="s">
        <v>35</v>
      </c>
      <c r="L344" s="1" t="s">
        <v>674</v>
      </c>
      <c r="M344" s="1" t="s">
        <v>54</v>
      </c>
      <c r="N344" s="5">
        <v>4.8960000000000008</v>
      </c>
      <c r="O344" s="27">
        <v>3</v>
      </c>
      <c r="P344" s="5">
        <v>-3.4271999999999991</v>
      </c>
      <c r="Q344" s="5">
        <v>1.6319999999999999</v>
      </c>
    </row>
    <row r="345" spans="1:17">
      <c r="A345" s="1">
        <v>335</v>
      </c>
      <c r="B345" s="1" t="s">
        <v>675</v>
      </c>
      <c r="C345" s="1">
        <v>137946</v>
      </c>
      <c r="D345" s="7">
        <v>42251</v>
      </c>
      <c r="E345" s="1" t="s">
        <v>676</v>
      </c>
      <c r="F345" s="1" t="s">
        <v>677</v>
      </c>
      <c r="G345" s="1" t="s">
        <v>32</v>
      </c>
      <c r="H345" s="1" t="s">
        <v>677</v>
      </c>
      <c r="I345" s="1" t="s">
        <v>33</v>
      </c>
      <c r="J345" s="1" t="s">
        <v>677</v>
      </c>
      <c r="K345" s="1" t="s">
        <v>35</v>
      </c>
      <c r="L345" s="1" t="s">
        <v>677</v>
      </c>
      <c r="M345" s="1" t="s">
        <v>54</v>
      </c>
      <c r="N345" s="5">
        <v>4.7520000000000007</v>
      </c>
      <c r="O345" s="27">
        <v>1</v>
      </c>
      <c r="P345" s="5">
        <v>1.6037999999999997</v>
      </c>
      <c r="Q345" s="5">
        <v>4.7519999999999998</v>
      </c>
    </row>
    <row r="346" spans="1:17">
      <c r="A346" s="1">
        <v>336</v>
      </c>
      <c r="B346" s="1" t="s">
        <v>675</v>
      </c>
      <c r="C346" s="1">
        <v>137946</v>
      </c>
      <c r="D346" s="7">
        <v>42251</v>
      </c>
      <c r="E346" s="1" t="s">
        <v>676</v>
      </c>
      <c r="F346" s="1" t="s">
        <v>678</v>
      </c>
      <c r="G346" s="1" t="s">
        <v>32</v>
      </c>
      <c r="H346" s="1" t="s">
        <v>678</v>
      </c>
      <c r="I346" s="1" t="s">
        <v>33</v>
      </c>
      <c r="J346" s="1" t="s">
        <v>678</v>
      </c>
      <c r="K346" s="1" t="s">
        <v>51</v>
      </c>
      <c r="L346" s="1" t="s">
        <v>678</v>
      </c>
      <c r="M346" s="1" t="s">
        <v>679</v>
      </c>
      <c r="N346" s="5">
        <v>959.98400000000004</v>
      </c>
      <c r="O346" s="27">
        <v>2</v>
      </c>
      <c r="P346" s="5">
        <v>335.99440000000004</v>
      </c>
      <c r="Q346" s="5">
        <v>479.99200000000002</v>
      </c>
    </row>
    <row r="347" spans="1:17">
      <c r="A347" s="1">
        <v>337</v>
      </c>
      <c r="B347" s="1" t="s">
        <v>675</v>
      </c>
      <c r="C347" s="1">
        <v>137946</v>
      </c>
      <c r="D347" s="7">
        <v>42251</v>
      </c>
      <c r="E347" s="1" t="s">
        <v>676</v>
      </c>
      <c r="F347" s="1" t="s">
        <v>680</v>
      </c>
      <c r="G347" s="1" t="s">
        <v>32</v>
      </c>
      <c r="H347" s="1" t="s">
        <v>680</v>
      </c>
      <c r="I347" s="1" t="s">
        <v>33</v>
      </c>
      <c r="J347" s="1" t="s">
        <v>680</v>
      </c>
      <c r="K347" s="1" t="s">
        <v>35</v>
      </c>
      <c r="L347" s="1" t="s">
        <v>680</v>
      </c>
      <c r="M347" s="1" t="s">
        <v>54</v>
      </c>
      <c r="N347" s="5">
        <v>14.368000000000002</v>
      </c>
      <c r="O347" s="27">
        <v>4</v>
      </c>
      <c r="P347" s="5">
        <v>4.4899999999999984</v>
      </c>
      <c r="Q347" s="5">
        <v>3.5920000000000001</v>
      </c>
    </row>
    <row r="348" spans="1:17">
      <c r="A348" s="1">
        <v>338</v>
      </c>
      <c r="B348" s="1" t="s">
        <v>681</v>
      </c>
      <c r="C348" s="1">
        <v>129924</v>
      </c>
      <c r="D348" s="7">
        <v>41837</v>
      </c>
      <c r="E348" s="1" t="s">
        <v>682</v>
      </c>
      <c r="F348" s="1" t="s">
        <v>683</v>
      </c>
      <c r="G348" s="1" t="s">
        <v>32</v>
      </c>
      <c r="H348" s="1" t="s">
        <v>683</v>
      </c>
      <c r="I348" s="1" t="s">
        <v>33</v>
      </c>
      <c r="J348" s="1" t="s">
        <v>683</v>
      </c>
      <c r="K348" s="1" t="s">
        <v>35</v>
      </c>
      <c r="L348" s="1" t="s">
        <v>683</v>
      </c>
      <c r="M348" s="1" t="s">
        <v>54</v>
      </c>
      <c r="N348" s="5">
        <v>7.7120000000000006</v>
      </c>
      <c r="O348" s="27">
        <v>2</v>
      </c>
      <c r="P348" s="5">
        <v>2.7956000000000003</v>
      </c>
      <c r="Q348" s="5">
        <v>3.8559999999999999</v>
      </c>
    </row>
    <row r="349" spans="1:17">
      <c r="A349" s="1">
        <v>339</v>
      </c>
      <c r="B349" s="1" t="s">
        <v>681</v>
      </c>
      <c r="C349" s="1">
        <v>129924</v>
      </c>
      <c r="D349" s="7">
        <v>41837</v>
      </c>
      <c r="E349" s="1" t="s">
        <v>682</v>
      </c>
      <c r="F349" s="1" t="s">
        <v>684</v>
      </c>
      <c r="G349" s="1" t="s">
        <v>32</v>
      </c>
      <c r="H349" s="1" t="s">
        <v>684</v>
      </c>
      <c r="I349" s="1" t="s">
        <v>33</v>
      </c>
      <c r="J349" s="1" t="s">
        <v>684</v>
      </c>
      <c r="K349" s="1" t="s">
        <v>26</v>
      </c>
      <c r="L349" s="1" t="s">
        <v>684</v>
      </c>
      <c r="M349" s="1" t="s">
        <v>41</v>
      </c>
      <c r="N349" s="5">
        <v>698.35200000000009</v>
      </c>
      <c r="O349" s="27">
        <v>3</v>
      </c>
      <c r="P349" s="5">
        <v>-17.458800000000053</v>
      </c>
      <c r="Q349" s="5">
        <v>232.78399999999999</v>
      </c>
    </row>
    <row r="350" spans="1:17">
      <c r="A350" s="1">
        <v>340</v>
      </c>
      <c r="B350" s="1" t="s">
        <v>685</v>
      </c>
      <c r="C350" s="1">
        <v>128167</v>
      </c>
      <c r="D350" s="7">
        <v>42181</v>
      </c>
      <c r="E350" s="1" t="s">
        <v>516</v>
      </c>
      <c r="F350" s="1" t="s">
        <v>686</v>
      </c>
      <c r="G350" s="1" t="s">
        <v>80</v>
      </c>
      <c r="H350" s="1" t="s">
        <v>686</v>
      </c>
      <c r="I350" s="1" t="s">
        <v>33</v>
      </c>
      <c r="J350" s="1" t="s">
        <v>686</v>
      </c>
      <c r="K350" s="1" t="s">
        <v>35</v>
      </c>
      <c r="L350" s="1" t="s">
        <v>686</v>
      </c>
      <c r="M350" s="1" t="s">
        <v>163</v>
      </c>
      <c r="N350" s="5">
        <v>4.96</v>
      </c>
      <c r="O350" s="27">
        <v>4</v>
      </c>
      <c r="P350" s="5">
        <v>2.3311999999999999</v>
      </c>
      <c r="Q350" s="5">
        <v>1.24</v>
      </c>
    </row>
    <row r="351" spans="1:17">
      <c r="A351" s="1">
        <v>341</v>
      </c>
      <c r="B351" s="1" t="s">
        <v>687</v>
      </c>
      <c r="C351" s="1">
        <v>122336</v>
      </c>
      <c r="D351" s="7">
        <v>41746</v>
      </c>
      <c r="E351" s="1" t="s">
        <v>333</v>
      </c>
      <c r="F351" s="1" t="s">
        <v>688</v>
      </c>
      <c r="G351" s="1" t="s">
        <v>94</v>
      </c>
      <c r="H351" s="1" t="s">
        <v>688</v>
      </c>
      <c r="I351" s="1" t="s">
        <v>95</v>
      </c>
      <c r="J351" s="1" t="s">
        <v>688</v>
      </c>
      <c r="K351" s="1" t="s">
        <v>35</v>
      </c>
      <c r="L351" s="1" t="s">
        <v>688</v>
      </c>
      <c r="M351" s="1" t="s">
        <v>49</v>
      </c>
      <c r="N351" s="5">
        <v>17.856000000000002</v>
      </c>
      <c r="O351" s="27">
        <v>4</v>
      </c>
      <c r="P351" s="5">
        <v>1.1159999999999979</v>
      </c>
      <c r="Q351" s="5">
        <v>4.4640000000000004</v>
      </c>
    </row>
    <row r="352" spans="1:17">
      <c r="A352" s="1">
        <v>342</v>
      </c>
      <c r="B352" s="1" t="s">
        <v>687</v>
      </c>
      <c r="C352" s="1">
        <v>122336</v>
      </c>
      <c r="D352" s="7">
        <v>41746</v>
      </c>
      <c r="E352" s="1" t="s">
        <v>333</v>
      </c>
      <c r="F352" s="1" t="s">
        <v>67</v>
      </c>
      <c r="G352" s="1" t="s">
        <v>94</v>
      </c>
      <c r="H352" s="1" t="s">
        <v>67</v>
      </c>
      <c r="I352" s="1" t="s">
        <v>95</v>
      </c>
      <c r="J352" s="1" t="s">
        <v>67</v>
      </c>
      <c r="K352" s="1" t="s">
        <v>35</v>
      </c>
      <c r="L352" s="1" t="s">
        <v>67</v>
      </c>
      <c r="M352" s="1" t="s">
        <v>54</v>
      </c>
      <c r="N352" s="5">
        <v>509.97000000000008</v>
      </c>
      <c r="O352" s="27">
        <v>10</v>
      </c>
      <c r="P352" s="5">
        <v>-407.97599999999989</v>
      </c>
      <c r="Q352" s="5">
        <v>50.997</v>
      </c>
    </row>
    <row r="353" spans="1:17">
      <c r="A353" s="1">
        <v>343</v>
      </c>
      <c r="B353" s="1" t="s">
        <v>687</v>
      </c>
      <c r="C353" s="1">
        <v>122336</v>
      </c>
      <c r="D353" s="7">
        <v>41746</v>
      </c>
      <c r="E353" s="1" t="s">
        <v>333</v>
      </c>
      <c r="F353" s="1" t="s">
        <v>322</v>
      </c>
      <c r="G353" s="1" t="s">
        <v>94</v>
      </c>
      <c r="H353" s="1" t="s">
        <v>322</v>
      </c>
      <c r="I353" s="1" t="s">
        <v>95</v>
      </c>
      <c r="J353" s="1" t="s">
        <v>322</v>
      </c>
      <c r="K353" s="1" t="s">
        <v>35</v>
      </c>
      <c r="L353" s="1" t="s">
        <v>322</v>
      </c>
      <c r="M353" s="1" t="s">
        <v>163</v>
      </c>
      <c r="N353" s="5">
        <v>30.991999999999997</v>
      </c>
      <c r="O353" s="27">
        <v>13</v>
      </c>
      <c r="P353" s="5">
        <v>10.072399999999996</v>
      </c>
      <c r="Q353" s="5">
        <v>2.3839999999999999</v>
      </c>
    </row>
    <row r="354" spans="1:17">
      <c r="A354" s="1">
        <v>344</v>
      </c>
      <c r="B354" s="1" t="s">
        <v>687</v>
      </c>
      <c r="C354" s="1">
        <v>122336</v>
      </c>
      <c r="D354" s="7">
        <v>41746</v>
      </c>
      <c r="E354" s="1" t="s">
        <v>333</v>
      </c>
      <c r="F354" s="1" t="s">
        <v>689</v>
      </c>
      <c r="G354" s="1" t="s">
        <v>94</v>
      </c>
      <c r="H354" s="1" t="s">
        <v>689</v>
      </c>
      <c r="I354" s="1" t="s">
        <v>95</v>
      </c>
      <c r="J354" s="1" t="s">
        <v>689</v>
      </c>
      <c r="K354" s="1" t="s">
        <v>51</v>
      </c>
      <c r="L354" s="1" t="s">
        <v>689</v>
      </c>
      <c r="M354" s="1" t="s">
        <v>52</v>
      </c>
      <c r="N354" s="5">
        <v>71.927999999999997</v>
      </c>
      <c r="O354" s="27">
        <v>12</v>
      </c>
      <c r="P354" s="5">
        <v>8.3915999999999897</v>
      </c>
      <c r="Q354" s="5">
        <v>5.9939999999999998</v>
      </c>
    </row>
    <row r="355" spans="1:17">
      <c r="A355" s="1">
        <v>345</v>
      </c>
      <c r="B355" s="1" t="s">
        <v>690</v>
      </c>
      <c r="C355" s="1">
        <v>120712</v>
      </c>
      <c r="D355" s="7">
        <v>42362</v>
      </c>
      <c r="E355" s="1" t="s">
        <v>396</v>
      </c>
      <c r="F355" s="1" t="s">
        <v>81</v>
      </c>
      <c r="G355" s="1" t="s">
        <v>70</v>
      </c>
      <c r="H355" s="1" t="s">
        <v>81</v>
      </c>
      <c r="I355" s="1" t="s">
        <v>71</v>
      </c>
      <c r="J355" s="1" t="s">
        <v>81</v>
      </c>
      <c r="K355" s="1" t="s">
        <v>35</v>
      </c>
      <c r="L355" s="1" t="s">
        <v>81</v>
      </c>
      <c r="M355" s="1" t="s">
        <v>43</v>
      </c>
      <c r="N355" s="5">
        <v>88.800000000000011</v>
      </c>
      <c r="O355" s="27">
        <v>4</v>
      </c>
      <c r="P355" s="5">
        <v>-2.2200000000000131</v>
      </c>
      <c r="Q355" s="5">
        <v>22.2</v>
      </c>
    </row>
    <row r="356" spans="1:17">
      <c r="A356" s="1">
        <v>346</v>
      </c>
      <c r="B356" s="1" t="s">
        <v>691</v>
      </c>
      <c r="C356" s="1">
        <v>169901</v>
      </c>
      <c r="D356" s="7">
        <v>42905</v>
      </c>
      <c r="E356" s="1" t="s">
        <v>692</v>
      </c>
      <c r="F356" s="1" t="s">
        <v>320</v>
      </c>
      <c r="G356" s="1" t="s">
        <v>32</v>
      </c>
      <c r="H356" s="1" t="s">
        <v>320</v>
      </c>
      <c r="I356" s="1" t="s">
        <v>33</v>
      </c>
      <c r="J356" s="1" t="s">
        <v>320</v>
      </c>
      <c r="K356" s="1" t="s">
        <v>51</v>
      </c>
      <c r="L356" s="1" t="s">
        <v>320</v>
      </c>
      <c r="M356" s="1" t="s">
        <v>52</v>
      </c>
      <c r="N356" s="5">
        <v>47.975999999999999</v>
      </c>
      <c r="O356" s="27">
        <v>3</v>
      </c>
      <c r="P356" s="5">
        <v>4.7976000000000028</v>
      </c>
      <c r="Q356" s="5">
        <v>15.992000000000001</v>
      </c>
    </row>
    <row r="357" spans="1:17">
      <c r="A357" s="1">
        <v>347</v>
      </c>
      <c r="B357" s="1" t="s">
        <v>693</v>
      </c>
      <c r="C357" s="1">
        <v>134306</v>
      </c>
      <c r="D357" s="7">
        <v>42928</v>
      </c>
      <c r="E357" s="1" t="s">
        <v>694</v>
      </c>
      <c r="F357" s="1" t="s">
        <v>444</v>
      </c>
      <c r="G357" s="1" t="s">
        <v>695</v>
      </c>
      <c r="H357" s="1" t="s">
        <v>444</v>
      </c>
      <c r="I357" s="1" t="s">
        <v>95</v>
      </c>
      <c r="J357" s="1" t="s">
        <v>444</v>
      </c>
      <c r="K357" s="1" t="s">
        <v>35</v>
      </c>
      <c r="L357" s="1" t="s">
        <v>444</v>
      </c>
      <c r="M357" s="1" t="s">
        <v>49</v>
      </c>
      <c r="N357" s="5">
        <v>7.5600000000000005</v>
      </c>
      <c r="O357" s="27">
        <v>3</v>
      </c>
      <c r="P357" s="5">
        <v>3.0996000000000006</v>
      </c>
      <c r="Q357" s="5">
        <v>2.52</v>
      </c>
    </row>
    <row r="358" spans="1:17">
      <c r="A358" s="1">
        <v>348</v>
      </c>
      <c r="B358" s="1" t="s">
        <v>693</v>
      </c>
      <c r="C358" s="1">
        <v>134306</v>
      </c>
      <c r="D358" s="7">
        <v>42928</v>
      </c>
      <c r="E358" s="1" t="s">
        <v>694</v>
      </c>
      <c r="F358" s="1" t="s">
        <v>116</v>
      </c>
      <c r="G358" s="1" t="s">
        <v>695</v>
      </c>
      <c r="H358" s="1" t="s">
        <v>116</v>
      </c>
      <c r="I358" s="1" t="s">
        <v>95</v>
      </c>
      <c r="J358" s="1" t="s">
        <v>116</v>
      </c>
      <c r="K358" s="1" t="s">
        <v>35</v>
      </c>
      <c r="L358" s="1" t="s">
        <v>116</v>
      </c>
      <c r="M358" s="1" t="s">
        <v>63</v>
      </c>
      <c r="N358" s="5">
        <v>24.56</v>
      </c>
      <c r="O358" s="27">
        <v>2</v>
      </c>
      <c r="P358" s="5">
        <v>11.543199999999999</v>
      </c>
      <c r="Q358" s="5">
        <v>12.28</v>
      </c>
    </row>
    <row r="359" spans="1:17">
      <c r="A359" s="1">
        <v>349</v>
      </c>
      <c r="B359" s="1" t="s">
        <v>693</v>
      </c>
      <c r="C359" s="1">
        <v>134306</v>
      </c>
      <c r="D359" s="7">
        <v>42928</v>
      </c>
      <c r="E359" s="1" t="s">
        <v>694</v>
      </c>
      <c r="F359" s="1" t="s">
        <v>696</v>
      </c>
      <c r="G359" s="1" t="s">
        <v>695</v>
      </c>
      <c r="H359" s="1" t="s">
        <v>696</v>
      </c>
      <c r="I359" s="1" t="s">
        <v>95</v>
      </c>
      <c r="J359" s="1" t="s">
        <v>696</v>
      </c>
      <c r="K359" s="1" t="s">
        <v>35</v>
      </c>
      <c r="L359" s="1" t="s">
        <v>696</v>
      </c>
      <c r="M359" s="1" t="s">
        <v>49</v>
      </c>
      <c r="N359" s="5">
        <v>12.96</v>
      </c>
      <c r="O359" s="27">
        <v>2</v>
      </c>
      <c r="P359" s="5">
        <v>4.1471999999999998</v>
      </c>
      <c r="Q359" s="5">
        <v>6.48</v>
      </c>
    </row>
    <row r="360" spans="1:17">
      <c r="A360" s="1">
        <v>350</v>
      </c>
      <c r="B360" s="1" t="s">
        <v>697</v>
      </c>
      <c r="C360" s="1">
        <v>129714</v>
      </c>
      <c r="D360" s="7">
        <v>42616</v>
      </c>
      <c r="E360" s="1" t="s">
        <v>698</v>
      </c>
      <c r="F360" s="1" t="s">
        <v>544</v>
      </c>
      <c r="G360" s="1" t="s">
        <v>161</v>
      </c>
      <c r="H360" s="1" t="s">
        <v>544</v>
      </c>
      <c r="I360" s="1" t="s">
        <v>95</v>
      </c>
      <c r="J360" s="1" t="s">
        <v>544</v>
      </c>
      <c r="K360" s="1" t="s">
        <v>51</v>
      </c>
      <c r="L360" s="1" t="s">
        <v>544</v>
      </c>
      <c r="M360" s="1" t="s">
        <v>103</v>
      </c>
      <c r="N360" s="5">
        <v>6.79</v>
      </c>
      <c r="O360" s="27">
        <v>1</v>
      </c>
      <c r="P360" s="5">
        <v>2.3086000000000002</v>
      </c>
      <c r="Q360" s="5">
        <v>6.79</v>
      </c>
    </row>
    <row r="361" spans="1:17">
      <c r="A361" s="1">
        <v>351</v>
      </c>
      <c r="B361" s="1" t="s">
        <v>697</v>
      </c>
      <c r="C361" s="1">
        <v>129714</v>
      </c>
      <c r="D361" s="7">
        <v>42616</v>
      </c>
      <c r="E361" s="1" t="s">
        <v>698</v>
      </c>
      <c r="F361" s="1" t="s">
        <v>699</v>
      </c>
      <c r="G361" s="1" t="s">
        <v>161</v>
      </c>
      <c r="H361" s="1" t="s">
        <v>699</v>
      </c>
      <c r="I361" s="1" t="s">
        <v>95</v>
      </c>
      <c r="J361" s="1" t="s">
        <v>699</v>
      </c>
      <c r="K361" s="1" t="s">
        <v>35</v>
      </c>
      <c r="L361" s="1" t="s">
        <v>699</v>
      </c>
      <c r="M361" s="1" t="s">
        <v>63</v>
      </c>
      <c r="N361" s="5">
        <v>24.56</v>
      </c>
      <c r="O361" s="27">
        <v>2</v>
      </c>
      <c r="P361" s="5">
        <v>11.543199999999999</v>
      </c>
      <c r="Q361" s="5">
        <v>12.28</v>
      </c>
    </row>
    <row r="362" spans="1:17">
      <c r="A362" s="1">
        <v>352</v>
      </c>
      <c r="B362" s="1" t="s">
        <v>697</v>
      </c>
      <c r="C362" s="1">
        <v>129714</v>
      </c>
      <c r="D362" s="7">
        <v>42616</v>
      </c>
      <c r="E362" s="1" t="s">
        <v>698</v>
      </c>
      <c r="F362" s="1" t="s">
        <v>700</v>
      </c>
      <c r="G362" s="1" t="s">
        <v>161</v>
      </c>
      <c r="H362" s="1" t="s">
        <v>700</v>
      </c>
      <c r="I362" s="1" t="s">
        <v>95</v>
      </c>
      <c r="J362" s="1" t="s">
        <v>700</v>
      </c>
      <c r="K362" s="1" t="s">
        <v>35</v>
      </c>
      <c r="L362" s="1" t="s">
        <v>700</v>
      </c>
      <c r="M362" s="1" t="s">
        <v>54</v>
      </c>
      <c r="N362" s="5">
        <v>3.048</v>
      </c>
      <c r="O362" s="27">
        <v>1</v>
      </c>
      <c r="P362" s="5">
        <v>1.0668</v>
      </c>
      <c r="Q362" s="5">
        <v>3.048</v>
      </c>
    </row>
    <row r="363" spans="1:17">
      <c r="A363" s="1">
        <v>353</v>
      </c>
      <c r="B363" s="1" t="s">
        <v>697</v>
      </c>
      <c r="C363" s="1">
        <v>129714</v>
      </c>
      <c r="D363" s="7">
        <v>42616</v>
      </c>
      <c r="E363" s="1" t="s">
        <v>698</v>
      </c>
      <c r="F363" s="1" t="s">
        <v>699</v>
      </c>
      <c r="G363" s="1" t="s">
        <v>161</v>
      </c>
      <c r="H363" s="1" t="s">
        <v>699</v>
      </c>
      <c r="I363" s="1" t="s">
        <v>95</v>
      </c>
      <c r="J363" s="1" t="s">
        <v>699</v>
      </c>
      <c r="K363" s="1" t="s">
        <v>35</v>
      </c>
      <c r="L363" s="1" t="s">
        <v>699</v>
      </c>
      <c r="M363" s="1" t="s">
        <v>63</v>
      </c>
      <c r="N363" s="5">
        <v>49.12</v>
      </c>
      <c r="O363" s="27">
        <v>4</v>
      </c>
      <c r="P363" s="5">
        <v>23.086399999999998</v>
      </c>
      <c r="Q363" s="5">
        <v>12.28</v>
      </c>
    </row>
    <row r="364" spans="1:17">
      <c r="A364" s="1">
        <v>354</v>
      </c>
      <c r="B364" s="1" t="s">
        <v>697</v>
      </c>
      <c r="C364" s="1">
        <v>129714</v>
      </c>
      <c r="D364" s="7">
        <v>42616</v>
      </c>
      <c r="E364" s="1" t="s">
        <v>698</v>
      </c>
      <c r="F364" s="1" t="s">
        <v>701</v>
      </c>
      <c r="G364" s="1" t="s">
        <v>161</v>
      </c>
      <c r="H364" s="1" t="s">
        <v>701</v>
      </c>
      <c r="I364" s="1" t="s">
        <v>95</v>
      </c>
      <c r="J364" s="1" t="s">
        <v>701</v>
      </c>
      <c r="K364" s="1" t="s">
        <v>35</v>
      </c>
      <c r="L364" s="1" t="s">
        <v>701</v>
      </c>
      <c r="M364" s="1" t="s">
        <v>54</v>
      </c>
      <c r="N364" s="5">
        <v>4355.1680000000006</v>
      </c>
      <c r="O364" s="27">
        <v>4</v>
      </c>
      <c r="P364" s="5">
        <v>1415.4295999999997</v>
      </c>
      <c r="Q364" s="5">
        <v>1088.7919999999999</v>
      </c>
    </row>
    <row r="365" spans="1:17">
      <c r="A365" s="1">
        <v>355</v>
      </c>
      <c r="B365" s="1" t="s">
        <v>702</v>
      </c>
      <c r="C365" s="1">
        <v>138520</v>
      </c>
      <c r="D365" s="7">
        <v>42473</v>
      </c>
      <c r="E365" s="1" t="s">
        <v>703</v>
      </c>
      <c r="F365" s="1" t="s">
        <v>704</v>
      </c>
      <c r="G365" s="1" t="s">
        <v>161</v>
      </c>
      <c r="H365" s="1" t="s">
        <v>704</v>
      </c>
      <c r="I365" s="1" t="s">
        <v>95</v>
      </c>
      <c r="J365" s="1" t="s">
        <v>704</v>
      </c>
      <c r="K365" s="1" t="s">
        <v>26</v>
      </c>
      <c r="L365" s="1" t="s">
        <v>704</v>
      </c>
      <c r="M365" s="1" t="s">
        <v>27</v>
      </c>
      <c r="N365" s="5">
        <v>388.70400000000006</v>
      </c>
      <c r="O365" s="27">
        <v>6</v>
      </c>
      <c r="P365" s="5">
        <v>-4.8588000000000022</v>
      </c>
      <c r="Q365" s="5">
        <v>64.784000000000006</v>
      </c>
    </row>
    <row r="366" spans="1:17">
      <c r="A366" s="1">
        <v>356</v>
      </c>
      <c r="B366" s="1" t="s">
        <v>702</v>
      </c>
      <c r="C366" s="1">
        <v>138520</v>
      </c>
      <c r="D366" s="7">
        <v>42473</v>
      </c>
      <c r="E366" s="1" t="s">
        <v>703</v>
      </c>
      <c r="F366" s="1" t="s">
        <v>705</v>
      </c>
      <c r="G366" s="1" t="s">
        <v>161</v>
      </c>
      <c r="H366" s="1" t="s">
        <v>705</v>
      </c>
      <c r="I366" s="1" t="s">
        <v>95</v>
      </c>
      <c r="J366" s="1" t="s">
        <v>705</v>
      </c>
      <c r="K366" s="1" t="s">
        <v>35</v>
      </c>
      <c r="L366" s="1" t="s">
        <v>705</v>
      </c>
      <c r="M366" s="1" t="s">
        <v>110</v>
      </c>
      <c r="N366" s="5">
        <v>8.26</v>
      </c>
      <c r="O366" s="27">
        <v>2</v>
      </c>
      <c r="P366" s="5">
        <v>3.7995999999999999</v>
      </c>
      <c r="Q366" s="5">
        <v>4.13</v>
      </c>
    </row>
    <row r="367" spans="1:17">
      <c r="A367" s="1">
        <v>357</v>
      </c>
      <c r="B367" s="1" t="s">
        <v>702</v>
      </c>
      <c r="C367" s="1">
        <v>138520</v>
      </c>
      <c r="D367" s="7">
        <v>42473</v>
      </c>
      <c r="E367" s="1" t="s">
        <v>703</v>
      </c>
      <c r="F367" s="1" t="s">
        <v>706</v>
      </c>
      <c r="G367" s="1" t="s">
        <v>161</v>
      </c>
      <c r="H367" s="1" t="s">
        <v>706</v>
      </c>
      <c r="I367" s="1" t="s">
        <v>95</v>
      </c>
      <c r="J367" s="1" t="s">
        <v>706</v>
      </c>
      <c r="K367" s="1" t="s">
        <v>35</v>
      </c>
      <c r="L367" s="1" t="s">
        <v>706</v>
      </c>
      <c r="M367" s="1" t="s">
        <v>49</v>
      </c>
      <c r="N367" s="5">
        <v>17.04</v>
      </c>
      <c r="O367" s="27">
        <v>4</v>
      </c>
      <c r="P367" s="5">
        <v>6.9863999999999997</v>
      </c>
      <c r="Q367" s="5">
        <v>4.26</v>
      </c>
    </row>
    <row r="368" spans="1:17">
      <c r="A368" s="1">
        <v>358</v>
      </c>
      <c r="B368" s="1" t="s">
        <v>702</v>
      </c>
      <c r="C368" s="1">
        <v>138520</v>
      </c>
      <c r="D368" s="7">
        <v>42473</v>
      </c>
      <c r="E368" s="1" t="s">
        <v>703</v>
      </c>
      <c r="F368" s="1" t="s">
        <v>707</v>
      </c>
      <c r="G368" s="1" t="s">
        <v>161</v>
      </c>
      <c r="H368" s="1" t="s">
        <v>707</v>
      </c>
      <c r="I368" s="1" t="s">
        <v>95</v>
      </c>
      <c r="J368" s="1" t="s">
        <v>707</v>
      </c>
      <c r="K368" s="1" t="s">
        <v>35</v>
      </c>
      <c r="L368" s="1" t="s">
        <v>707</v>
      </c>
      <c r="M368" s="1" t="s">
        <v>63</v>
      </c>
      <c r="N368" s="5">
        <v>34.4</v>
      </c>
      <c r="O368" s="27">
        <v>5</v>
      </c>
      <c r="P368" s="5">
        <v>15.823999999999998</v>
      </c>
      <c r="Q368" s="5">
        <v>6.88</v>
      </c>
    </row>
    <row r="369" spans="1:17">
      <c r="A369" s="1">
        <v>359</v>
      </c>
      <c r="B369" s="1" t="s">
        <v>708</v>
      </c>
      <c r="C369" s="1">
        <v>130001</v>
      </c>
      <c r="D369" s="7">
        <v>42488</v>
      </c>
      <c r="E369" s="1" t="s">
        <v>464</v>
      </c>
      <c r="F369" s="1" t="s">
        <v>455</v>
      </c>
      <c r="G369" s="1" t="s">
        <v>61</v>
      </c>
      <c r="H369" s="1" t="s">
        <v>455</v>
      </c>
      <c r="I369" s="1" t="s">
        <v>24</v>
      </c>
      <c r="J369" s="1" t="s">
        <v>455</v>
      </c>
      <c r="K369" s="1" t="s">
        <v>35</v>
      </c>
      <c r="L369" s="1" t="s">
        <v>455</v>
      </c>
      <c r="M369" s="1" t="s">
        <v>63</v>
      </c>
      <c r="N369" s="5">
        <v>36.240000000000009</v>
      </c>
      <c r="O369" s="27">
        <v>5</v>
      </c>
      <c r="P369" s="5">
        <v>11.324999999999996</v>
      </c>
      <c r="Q369" s="5">
        <v>7.2480000000000002</v>
      </c>
    </row>
    <row r="370" spans="1:17">
      <c r="A370" s="1">
        <v>360</v>
      </c>
      <c r="B370" s="1" t="s">
        <v>709</v>
      </c>
      <c r="C370" s="1">
        <v>155698</v>
      </c>
      <c r="D370" s="7">
        <v>42805</v>
      </c>
      <c r="E370" s="1" t="s">
        <v>710</v>
      </c>
      <c r="F370" s="1" t="s">
        <v>712</v>
      </c>
      <c r="G370" s="1" t="s">
        <v>711</v>
      </c>
      <c r="H370" s="1" t="s">
        <v>712</v>
      </c>
      <c r="I370" s="1" t="s">
        <v>24</v>
      </c>
      <c r="J370" s="1" t="s">
        <v>712</v>
      </c>
      <c r="K370" s="1" t="s">
        <v>35</v>
      </c>
      <c r="L370" s="1" t="s">
        <v>712</v>
      </c>
      <c r="M370" s="1" t="s">
        <v>56</v>
      </c>
      <c r="N370" s="5">
        <v>647.84</v>
      </c>
      <c r="O370" s="27">
        <v>8</v>
      </c>
      <c r="P370" s="5">
        <v>168.4384</v>
      </c>
      <c r="Q370" s="5">
        <v>80.98</v>
      </c>
    </row>
    <row r="371" spans="1:17">
      <c r="A371" s="1">
        <v>361</v>
      </c>
      <c r="B371" s="1" t="s">
        <v>709</v>
      </c>
      <c r="C371" s="1">
        <v>155698</v>
      </c>
      <c r="D371" s="7">
        <v>42805</v>
      </c>
      <c r="E371" s="1" t="s">
        <v>710</v>
      </c>
      <c r="F371" s="1" t="s">
        <v>713</v>
      </c>
      <c r="G371" s="1" t="s">
        <v>711</v>
      </c>
      <c r="H371" s="1" t="s">
        <v>713</v>
      </c>
      <c r="I371" s="1" t="s">
        <v>24</v>
      </c>
      <c r="J371" s="1" t="s">
        <v>713</v>
      </c>
      <c r="K371" s="1" t="s">
        <v>35</v>
      </c>
      <c r="L371" s="1" t="s">
        <v>713</v>
      </c>
      <c r="M371" s="1" t="s">
        <v>36</v>
      </c>
      <c r="N371" s="5">
        <v>20.7</v>
      </c>
      <c r="O371" s="27">
        <v>2</v>
      </c>
      <c r="P371" s="5">
        <v>9.9359999999999999</v>
      </c>
      <c r="Q371" s="5">
        <v>10.35</v>
      </c>
    </row>
    <row r="372" spans="1:17">
      <c r="A372" s="1">
        <v>362</v>
      </c>
      <c r="B372" s="1" t="s">
        <v>714</v>
      </c>
      <c r="C372" s="1">
        <v>144904</v>
      </c>
      <c r="D372" s="7">
        <v>43009</v>
      </c>
      <c r="E372" s="1" t="s">
        <v>715</v>
      </c>
      <c r="F372" s="1" t="s">
        <v>713</v>
      </c>
      <c r="G372" s="1" t="s">
        <v>161</v>
      </c>
      <c r="H372" s="1" t="s">
        <v>713</v>
      </c>
      <c r="I372" s="1" t="s">
        <v>95</v>
      </c>
      <c r="J372" s="1" t="s">
        <v>713</v>
      </c>
      <c r="K372" s="1" t="s">
        <v>35</v>
      </c>
      <c r="L372" s="1" t="s">
        <v>713</v>
      </c>
      <c r="M372" s="1" t="s">
        <v>36</v>
      </c>
      <c r="N372" s="5">
        <v>20.7</v>
      </c>
      <c r="O372" s="27">
        <v>2</v>
      </c>
      <c r="P372" s="5">
        <v>9.9359999999999999</v>
      </c>
      <c r="Q372" s="5">
        <v>10.35</v>
      </c>
    </row>
    <row r="373" spans="1:17">
      <c r="A373" s="1">
        <v>363</v>
      </c>
      <c r="B373" s="1" t="s">
        <v>714</v>
      </c>
      <c r="C373" s="1">
        <v>144904</v>
      </c>
      <c r="D373" s="7">
        <v>43009</v>
      </c>
      <c r="E373" s="1" t="s">
        <v>715</v>
      </c>
      <c r="F373" s="1" t="s">
        <v>716</v>
      </c>
      <c r="G373" s="1" t="s">
        <v>161</v>
      </c>
      <c r="H373" s="1" t="s">
        <v>716</v>
      </c>
      <c r="I373" s="1" t="s">
        <v>95</v>
      </c>
      <c r="J373" s="1" t="s">
        <v>716</v>
      </c>
      <c r="K373" s="1" t="s">
        <v>26</v>
      </c>
      <c r="L373" s="1" t="s">
        <v>716</v>
      </c>
      <c r="M373" s="1" t="s">
        <v>29</v>
      </c>
      <c r="N373" s="5">
        <v>488.64600000000002</v>
      </c>
      <c r="O373" s="27">
        <v>3</v>
      </c>
      <c r="P373" s="5">
        <v>86.870400000000004</v>
      </c>
      <c r="Q373" s="5">
        <v>162.88200000000001</v>
      </c>
    </row>
    <row r="374" spans="1:17">
      <c r="A374" s="1">
        <v>364</v>
      </c>
      <c r="B374" s="1" t="s">
        <v>714</v>
      </c>
      <c r="C374" s="1">
        <v>144904</v>
      </c>
      <c r="D374" s="7">
        <v>43009</v>
      </c>
      <c r="E374" s="1" t="s">
        <v>715</v>
      </c>
      <c r="F374" s="1" t="s">
        <v>717</v>
      </c>
      <c r="G374" s="1" t="s">
        <v>161</v>
      </c>
      <c r="H374" s="1" t="s">
        <v>717</v>
      </c>
      <c r="I374" s="1" t="s">
        <v>95</v>
      </c>
      <c r="J374" s="1" t="s">
        <v>717</v>
      </c>
      <c r="K374" s="1" t="s">
        <v>35</v>
      </c>
      <c r="L374" s="1" t="s">
        <v>717</v>
      </c>
      <c r="M374" s="1" t="s">
        <v>49</v>
      </c>
      <c r="N374" s="5">
        <v>5.56</v>
      </c>
      <c r="O374" s="27">
        <v>2</v>
      </c>
      <c r="P374" s="5">
        <v>1.4455999999999998</v>
      </c>
      <c r="Q374" s="5">
        <v>2.78</v>
      </c>
    </row>
    <row r="375" spans="1:17">
      <c r="A375" s="1">
        <v>365</v>
      </c>
      <c r="B375" s="1" t="s">
        <v>714</v>
      </c>
      <c r="C375" s="1">
        <v>144904</v>
      </c>
      <c r="D375" s="7">
        <v>43009</v>
      </c>
      <c r="E375" s="1" t="s">
        <v>715</v>
      </c>
      <c r="F375" s="1" t="s">
        <v>718</v>
      </c>
      <c r="G375" s="1" t="s">
        <v>161</v>
      </c>
      <c r="H375" s="1" t="s">
        <v>718</v>
      </c>
      <c r="I375" s="1" t="s">
        <v>95</v>
      </c>
      <c r="J375" s="1" t="s">
        <v>718</v>
      </c>
      <c r="K375" s="1" t="s">
        <v>26</v>
      </c>
      <c r="L375" s="1" t="s">
        <v>718</v>
      </c>
      <c r="M375" s="1" t="s">
        <v>47</v>
      </c>
      <c r="N375" s="5">
        <v>47.12</v>
      </c>
      <c r="O375" s="27">
        <v>8</v>
      </c>
      <c r="P375" s="5">
        <v>20.732800000000001</v>
      </c>
      <c r="Q375" s="5">
        <v>5.89</v>
      </c>
    </row>
    <row r="376" spans="1:17">
      <c r="A376" s="1">
        <v>366</v>
      </c>
      <c r="B376" s="1" t="s">
        <v>719</v>
      </c>
      <c r="C376" s="1">
        <v>123344</v>
      </c>
      <c r="D376" s="7">
        <v>41911</v>
      </c>
      <c r="E376" s="1" t="s">
        <v>720</v>
      </c>
      <c r="F376" s="1" t="s">
        <v>145</v>
      </c>
      <c r="G376" s="1" t="s">
        <v>32</v>
      </c>
      <c r="H376" s="1" t="s">
        <v>145</v>
      </c>
      <c r="I376" s="1" t="s">
        <v>33</v>
      </c>
      <c r="J376" s="1" t="s">
        <v>145</v>
      </c>
      <c r="K376" s="1" t="s">
        <v>35</v>
      </c>
      <c r="L376" s="1" t="s">
        <v>145</v>
      </c>
      <c r="M376" s="1" t="s">
        <v>43</v>
      </c>
      <c r="N376" s="5">
        <v>211.96</v>
      </c>
      <c r="O376" s="27">
        <v>4</v>
      </c>
      <c r="P376" s="5">
        <v>8.4783999999999935</v>
      </c>
      <c r="Q376" s="5">
        <v>52.99</v>
      </c>
    </row>
    <row r="377" spans="1:17">
      <c r="A377" s="1">
        <v>367</v>
      </c>
      <c r="B377" s="1" t="s">
        <v>721</v>
      </c>
      <c r="C377" s="1">
        <v>155516</v>
      </c>
      <c r="D377" s="7">
        <v>42664</v>
      </c>
      <c r="E377" s="1" t="s">
        <v>722</v>
      </c>
      <c r="F377" s="1" t="s">
        <v>723</v>
      </c>
      <c r="G377" s="1" t="s">
        <v>425</v>
      </c>
      <c r="H377" s="1" t="s">
        <v>723</v>
      </c>
      <c r="I377" s="1" t="s">
        <v>95</v>
      </c>
      <c r="J377" s="1" t="s">
        <v>723</v>
      </c>
      <c r="K377" s="1" t="s">
        <v>35</v>
      </c>
      <c r="L377" s="1" t="s">
        <v>723</v>
      </c>
      <c r="M377" s="1" t="s">
        <v>54</v>
      </c>
      <c r="N377" s="5">
        <v>23.2</v>
      </c>
      <c r="O377" s="27">
        <v>4</v>
      </c>
      <c r="P377" s="5">
        <v>10.44</v>
      </c>
      <c r="Q377" s="5">
        <v>5.8</v>
      </c>
    </row>
    <row r="378" spans="1:17">
      <c r="A378" s="1">
        <v>368</v>
      </c>
      <c r="B378" s="1" t="s">
        <v>721</v>
      </c>
      <c r="C378" s="1">
        <v>155516</v>
      </c>
      <c r="D378" s="7">
        <v>42664</v>
      </c>
      <c r="E378" s="1" t="s">
        <v>722</v>
      </c>
      <c r="F378" s="1" t="s">
        <v>724</v>
      </c>
      <c r="G378" s="1" t="s">
        <v>425</v>
      </c>
      <c r="H378" s="1" t="s">
        <v>724</v>
      </c>
      <c r="I378" s="1" t="s">
        <v>95</v>
      </c>
      <c r="J378" s="1" t="s">
        <v>724</v>
      </c>
      <c r="K378" s="1" t="s">
        <v>35</v>
      </c>
      <c r="L378" s="1" t="s">
        <v>724</v>
      </c>
      <c r="M378" s="1" t="s">
        <v>331</v>
      </c>
      <c r="N378" s="5">
        <v>7.36</v>
      </c>
      <c r="O378" s="27">
        <v>2</v>
      </c>
      <c r="P378" s="5">
        <v>0.14719999999999978</v>
      </c>
      <c r="Q378" s="5">
        <v>3.68</v>
      </c>
    </row>
    <row r="379" spans="1:17">
      <c r="A379" s="1">
        <v>369</v>
      </c>
      <c r="B379" s="1" t="s">
        <v>721</v>
      </c>
      <c r="C379" s="1">
        <v>155516</v>
      </c>
      <c r="D379" s="7">
        <v>42664</v>
      </c>
      <c r="E379" s="1" t="s">
        <v>722</v>
      </c>
      <c r="F379" s="1" t="s">
        <v>725</v>
      </c>
      <c r="G379" s="1" t="s">
        <v>425</v>
      </c>
      <c r="H379" s="1" t="s">
        <v>725</v>
      </c>
      <c r="I379" s="1" t="s">
        <v>95</v>
      </c>
      <c r="J379" s="1" t="s">
        <v>725</v>
      </c>
      <c r="K379" s="1" t="s">
        <v>35</v>
      </c>
      <c r="L379" s="1" t="s">
        <v>725</v>
      </c>
      <c r="M379" s="1" t="s">
        <v>43</v>
      </c>
      <c r="N379" s="5">
        <v>104.79</v>
      </c>
      <c r="O379" s="27">
        <v>7</v>
      </c>
      <c r="P379" s="5">
        <v>29.341200000000008</v>
      </c>
      <c r="Q379" s="5">
        <v>14.97</v>
      </c>
    </row>
    <row r="380" spans="1:17">
      <c r="A380" s="1">
        <v>370</v>
      </c>
      <c r="B380" s="1" t="s">
        <v>721</v>
      </c>
      <c r="C380" s="1">
        <v>155516</v>
      </c>
      <c r="D380" s="7">
        <v>42664</v>
      </c>
      <c r="E380" s="1" t="s">
        <v>722</v>
      </c>
      <c r="F380" s="1" t="s">
        <v>124</v>
      </c>
      <c r="G380" s="1" t="s">
        <v>425</v>
      </c>
      <c r="H380" s="1" t="s">
        <v>124</v>
      </c>
      <c r="I380" s="1" t="s">
        <v>95</v>
      </c>
      <c r="J380" s="1" t="s">
        <v>124</v>
      </c>
      <c r="K380" s="1" t="s">
        <v>26</v>
      </c>
      <c r="L380" s="1" t="s">
        <v>124</v>
      </c>
      <c r="M380" s="1" t="s">
        <v>27</v>
      </c>
      <c r="N380" s="5">
        <v>1043.92</v>
      </c>
      <c r="O380" s="27">
        <v>4</v>
      </c>
      <c r="P380" s="5">
        <v>271.41920000000005</v>
      </c>
      <c r="Q380" s="5">
        <v>260.98</v>
      </c>
    </row>
    <row r="381" spans="1:17">
      <c r="A381" s="1">
        <v>371</v>
      </c>
      <c r="B381" s="1" t="s">
        <v>726</v>
      </c>
      <c r="C381" s="1">
        <v>104745</v>
      </c>
      <c r="D381" s="7">
        <v>42890</v>
      </c>
      <c r="E381" s="1" t="s">
        <v>727</v>
      </c>
      <c r="F381" s="1" t="s">
        <v>728</v>
      </c>
      <c r="G381" s="1" t="s">
        <v>70</v>
      </c>
      <c r="H381" s="1" t="s">
        <v>728</v>
      </c>
      <c r="I381" s="1" t="s">
        <v>71</v>
      </c>
      <c r="J381" s="1" t="s">
        <v>728</v>
      </c>
      <c r="K381" s="1" t="s">
        <v>35</v>
      </c>
      <c r="L381" s="1" t="s">
        <v>728</v>
      </c>
      <c r="M381" s="1" t="s">
        <v>63</v>
      </c>
      <c r="N381" s="5">
        <v>25.920000000000005</v>
      </c>
      <c r="O381" s="27">
        <v>5</v>
      </c>
      <c r="P381" s="5">
        <v>9.3960000000000008</v>
      </c>
      <c r="Q381" s="5">
        <v>5.1840000000000002</v>
      </c>
    </row>
    <row r="382" spans="1:17">
      <c r="A382" s="1">
        <v>372</v>
      </c>
      <c r="B382" s="1" t="s">
        <v>726</v>
      </c>
      <c r="C382" s="1">
        <v>104745</v>
      </c>
      <c r="D382" s="7">
        <v>42890</v>
      </c>
      <c r="E382" s="1" t="s">
        <v>727</v>
      </c>
      <c r="F382" s="1" t="s">
        <v>729</v>
      </c>
      <c r="G382" s="1" t="s">
        <v>70</v>
      </c>
      <c r="H382" s="1" t="s">
        <v>729</v>
      </c>
      <c r="I382" s="1" t="s">
        <v>71</v>
      </c>
      <c r="J382" s="1" t="s">
        <v>729</v>
      </c>
      <c r="K382" s="1" t="s">
        <v>35</v>
      </c>
      <c r="L382" s="1" t="s">
        <v>729</v>
      </c>
      <c r="M382" s="1" t="s">
        <v>43</v>
      </c>
      <c r="N382" s="5">
        <v>53.424000000000007</v>
      </c>
      <c r="O382" s="27">
        <v>3</v>
      </c>
      <c r="P382" s="5">
        <v>4.6746000000000016</v>
      </c>
      <c r="Q382" s="5">
        <v>17.808</v>
      </c>
    </row>
    <row r="383" spans="1:17">
      <c r="A383" s="1">
        <v>373</v>
      </c>
      <c r="B383" s="1" t="s">
        <v>730</v>
      </c>
      <c r="C383" s="1">
        <v>119137</v>
      </c>
      <c r="D383" s="7">
        <v>41847</v>
      </c>
      <c r="E383" s="1" t="s">
        <v>731</v>
      </c>
      <c r="F383" s="1" t="s">
        <v>674</v>
      </c>
      <c r="G383" s="1" t="s">
        <v>184</v>
      </c>
      <c r="H383" s="1" t="s">
        <v>674</v>
      </c>
      <c r="I383" s="1" t="s">
        <v>33</v>
      </c>
      <c r="J383" s="1" t="s">
        <v>674</v>
      </c>
      <c r="K383" s="1" t="s">
        <v>35</v>
      </c>
      <c r="L383" s="1" t="s">
        <v>674</v>
      </c>
      <c r="M383" s="1" t="s">
        <v>54</v>
      </c>
      <c r="N383" s="5">
        <v>8.1600000000000019</v>
      </c>
      <c r="O383" s="27">
        <v>5</v>
      </c>
      <c r="P383" s="5">
        <v>-5.7119999999999997</v>
      </c>
      <c r="Q383" s="5">
        <v>1.6319999999999999</v>
      </c>
    </row>
    <row r="384" spans="1:17">
      <c r="A384" s="1">
        <v>374</v>
      </c>
      <c r="B384" s="1" t="s">
        <v>730</v>
      </c>
      <c r="C384" s="1">
        <v>119137</v>
      </c>
      <c r="D384" s="7">
        <v>41847</v>
      </c>
      <c r="E384" s="1" t="s">
        <v>731</v>
      </c>
      <c r="F384" s="1" t="s">
        <v>732</v>
      </c>
      <c r="G384" s="1" t="s">
        <v>184</v>
      </c>
      <c r="H384" s="1" t="s">
        <v>732</v>
      </c>
      <c r="I384" s="1" t="s">
        <v>33</v>
      </c>
      <c r="J384" s="1" t="s">
        <v>732</v>
      </c>
      <c r="K384" s="1" t="s">
        <v>51</v>
      </c>
      <c r="L384" s="1" t="s">
        <v>732</v>
      </c>
      <c r="M384" s="1" t="s">
        <v>103</v>
      </c>
      <c r="N384" s="5">
        <v>1023.9360000000001</v>
      </c>
      <c r="O384" s="27">
        <v>8</v>
      </c>
      <c r="P384" s="5">
        <v>179.1887999999999</v>
      </c>
      <c r="Q384" s="5">
        <v>127.992</v>
      </c>
    </row>
    <row r="385" spans="1:17">
      <c r="A385" s="1">
        <v>375</v>
      </c>
      <c r="B385" s="1" t="s">
        <v>730</v>
      </c>
      <c r="C385" s="1">
        <v>119137</v>
      </c>
      <c r="D385" s="7">
        <v>41847</v>
      </c>
      <c r="E385" s="1" t="s">
        <v>731</v>
      </c>
      <c r="F385" s="1" t="s">
        <v>733</v>
      </c>
      <c r="G385" s="1" t="s">
        <v>184</v>
      </c>
      <c r="H385" s="1" t="s">
        <v>733</v>
      </c>
      <c r="I385" s="1" t="s">
        <v>33</v>
      </c>
      <c r="J385" s="1" t="s">
        <v>733</v>
      </c>
      <c r="K385" s="1" t="s">
        <v>35</v>
      </c>
      <c r="L385" s="1" t="s">
        <v>733</v>
      </c>
      <c r="M385" s="1" t="s">
        <v>49</v>
      </c>
      <c r="N385" s="5">
        <v>9.24</v>
      </c>
      <c r="O385" s="27">
        <v>1</v>
      </c>
      <c r="P385" s="5">
        <v>0.92399999999999993</v>
      </c>
      <c r="Q385" s="5">
        <v>9.24</v>
      </c>
    </row>
    <row r="386" spans="1:17">
      <c r="A386" s="1">
        <v>376</v>
      </c>
      <c r="B386" s="1" t="s">
        <v>730</v>
      </c>
      <c r="C386" s="1">
        <v>119137</v>
      </c>
      <c r="D386" s="7">
        <v>41847</v>
      </c>
      <c r="E386" s="1" t="s">
        <v>731</v>
      </c>
      <c r="F386" s="1" t="s">
        <v>734</v>
      </c>
      <c r="G386" s="1" t="s">
        <v>184</v>
      </c>
      <c r="H386" s="1" t="s">
        <v>734</v>
      </c>
      <c r="I386" s="1" t="s">
        <v>33</v>
      </c>
      <c r="J386" s="1" t="s">
        <v>734</v>
      </c>
      <c r="K386" s="1" t="s">
        <v>51</v>
      </c>
      <c r="L386" s="1" t="s">
        <v>734</v>
      </c>
      <c r="M386" s="1" t="s">
        <v>103</v>
      </c>
      <c r="N386" s="5">
        <v>479.04</v>
      </c>
      <c r="O386" s="27">
        <v>10</v>
      </c>
      <c r="P386" s="5">
        <v>-29.940000000000012</v>
      </c>
      <c r="Q386" s="5">
        <v>47.904000000000003</v>
      </c>
    </row>
    <row r="387" spans="1:17">
      <c r="A387" s="1">
        <v>377</v>
      </c>
      <c r="B387" s="1" t="s">
        <v>735</v>
      </c>
      <c r="C387" s="1">
        <v>134656</v>
      </c>
      <c r="D387" s="7">
        <v>42644</v>
      </c>
      <c r="E387" s="1" t="s">
        <v>736</v>
      </c>
      <c r="F387" s="1" t="s">
        <v>737</v>
      </c>
      <c r="G387" s="1" t="s">
        <v>129</v>
      </c>
      <c r="H387" s="1" t="s">
        <v>737</v>
      </c>
      <c r="I387" s="1" t="s">
        <v>71</v>
      </c>
      <c r="J387" s="1" t="s">
        <v>737</v>
      </c>
      <c r="K387" s="1" t="s">
        <v>35</v>
      </c>
      <c r="L387" s="1" t="s">
        <v>737</v>
      </c>
      <c r="M387" s="1" t="s">
        <v>63</v>
      </c>
      <c r="N387" s="5">
        <v>99.13600000000001</v>
      </c>
      <c r="O387" s="27">
        <v>4</v>
      </c>
      <c r="P387" s="5">
        <v>30.979999999999993</v>
      </c>
      <c r="Q387" s="5">
        <v>24.783999999999999</v>
      </c>
    </row>
    <row r="388" spans="1:17">
      <c r="A388" s="1">
        <v>378</v>
      </c>
      <c r="B388" s="1" t="s">
        <v>738</v>
      </c>
      <c r="C388" s="1">
        <v>134481</v>
      </c>
      <c r="D388" s="7">
        <v>42979</v>
      </c>
      <c r="E388" s="1" t="s">
        <v>739</v>
      </c>
      <c r="F388" s="1" t="s">
        <v>740</v>
      </c>
      <c r="G388" s="1" t="s">
        <v>695</v>
      </c>
      <c r="H388" s="1" t="s">
        <v>740</v>
      </c>
      <c r="I388" s="1" t="s">
        <v>95</v>
      </c>
      <c r="J388" s="1" t="s">
        <v>740</v>
      </c>
      <c r="K388" s="1" t="s">
        <v>26</v>
      </c>
      <c r="L388" s="1" t="s">
        <v>740</v>
      </c>
      <c r="M388" s="1" t="s">
        <v>41</v>
      </c>
      <c r="N388" s="5">
        <v>1488.4239999999998</v>
      </c>
      <c r="O388" s="27">
        <v>7</v>
      </c>
      <c r="P388" s="5">
        <v>-297.68479999999983</v>
      </c>
      <c r="Q388" s="5">
        <v>212.63200000000001</v>
      </c>
    </row>
    <row r="389" spans="1:17">
      <c r="A389" s="1">
        <v>379</v>
      </c>
      <c r="B389" s="1" t="s">
        <v>741</v>
      </c>
      <c r="C389" s="1">
        <v>130792</v>
      </c>
      <c r="D389" s="7">
        <v>42129</v>
      </c>
      <c r="E389" s="1" t="s">
        <v>742</v>
      </c>
      <c r="F389" s="1" t="s">
        <v>743</v>
      </c>
      <c r="G389" s="1" t="s">
        <v>70</v>
      </c>
      <c r="H389" s="1" t="s">
        <v>743</v>
      </c>
      <c r="I389" s="1" t="s">
        <v>71</v>
      </c>
      <c r="J389" s="1" t="s">
        <v>743</v>
      </c>
      <c r="K389" s="1" t="s">
        <v>35</v>
      </c>
      <c r="L389" s="1" t="s">
        <v>743</v>
      </c>
      <c r="M389" s="1" t="s">
        <v>56</v>
      </c>
      <c r="N389" s="5">
        <v>8.6519999999999975</v>
      </c>
      <c r="O389" s="27">
        <v>3</v>
      </c>
      <c r="P389" s="5">
        <v>-20.332200000000007</v>
      </c>
      <c r="Q389" s="5">
        <v>2.8839999999999999</v>
      </c>
    </row>
    <row r="390" spans="1:17">
      <c r="A390" s="1">
        <v>380</v>
      </c>
      <c r="B390" s="1" t="s">
        <v>741</v>
      </c>
      <c r="C390" s="1">
        <v>130792</v>
      </c>
      <c r="D390" s="7">
        <v>42129</v>
      </c>
      <c r="E390" s="1" t="s">
        <v>742</v>
      </c>
      <c r="F390" s="1" t="s">
        <v>744</v>
      </c>
      <c r="G390" s="1" t="s">
        <v>70</v>
      </c>
      <c r="H390" s="1" t="s">
        <v>744</v>
      </c>
      <c r="I390" s="1" t="s">
        <v>71</v>
      </c>
      <c r="J390" s="1" t="s">
        <v>744</v>
      </c>
      <c r="K390" s="1" t="s">
        <v>35</v>
      </c>
      <c r="L390" s="1" t="s">
        <v>744</v>
      </c>
      <c r="M390" s="1" t="s">
        <v>43</v>
      </c>
      <c r="N390" s="5">
        <v>23.832000000000001</v>
      </c>
      <c r="O390" s="27">
        <v>3</v>
      </c>
      <c r="P390" s="5">
        <v>2.6810999999999954</v>
      </c>
      <c r="Q390" s="5">
        <v>7.944</v>
      </c>
    </row>
    <row r="391" spans="1:17">
      <c r="A391" s="1">
        <v>381</v>
      </c>
      <c r="B391" s="1" t="s">
        <v>741</v>
      </c>
      <c r="C391" s="1">
        <v>130792</v>
      </c>
      <c r="D391" s="7">
        <v>42129</v>
      </c>
      <c r="E391" s="1" t="s">
        <v>742</v>
      </c>
      <c r="F391" s="1" t="s">
        <v>745</v>
      </c>
      <c r="G391" s="1" t="s">
        <v>70</v>
      </c>
      <c r="H391" s="1" t="s">
        <v>745</v>
      </c>
      <c r="I391" s="1" t="s">
        <v>71</v>
      </c>
      <c r="J391" s="1" t="s">
        <v>745</v>
      </c>
      <c r="K391" s="1" t="s">
        <v>35</v>
      </c>
      <c r="L391" s="1" t="s">
        <v>745</v>
      </c>
      <c r="M391" s="1" t="s">
        <v>54</v>
      </c>
      <c r="N391" s="5">
        <v>12.175999999999998</v>
      </c>
      <c r="O391" s="27">
        <v>4</v>
      </c>
      <c r="P391" s="5">
        <v>-18.872800000000009</v>
      </c>
      <c r="Q391" s="5">
        <v>3.044</v>
      </c>
    </row>
    <row r="392" spans="1:17">
      <c r="A392" s="1">
        <v>382</v>
      </c>
      <c r="B392" s="1" t="s">
        <v>746</v>
      </c>
      <c r="C392" s="1">
        <v>134775</v>
      </c>
      <c r="D392" s="7">
        <v>42672</v>
      </c>
      <c r="E392" s="1" t="s">
        <v>747</v>
      </c>
      <c r="F392" s="1" t="s">
        <v>748</v>
      </c>
      <c r="G392" s="1" t="s">
        <v>32</v>
      </c>
      <c r="H392" s="1" t="s">
        <v>748</v>
      </c>
      <c r="I392" s="1" t="s">
        <v>33</v>
      </c>
      <c r="J392" s="1" t="s">
        <v>748</v>
      </c>
      <c r="K392" s="1" t="s">
        <v>35</v>
      </c>
      <c r="L392" s="1" t="s">
        <v>748</v>
      </c>
      <c r="M392" s="1" t="s">
        <v>63</v>
      </c>
      <c r="N392" s="5">
        <v>50.96</v>
      </c>
      <c r="O392" s="27">
        <v>7</v>
      </c>
      <c r="P392" s="5">
        <v>25.48</v>
      </c>
      <c r="Q392" s="5">
        <v>7.28</v>
      </c>
    </row>
    <row r="393" spans="1:17">
      <c r="A393" s="1">
        <v>383</v>
      </c>
      <c r="B393" s="1" t="s">
        <v>746</v>
      </c>
      <c r="C393" s="1">
        <v>134775</v>
      </c>
      <c r="D393" s="7">
        <v>42672</v>
      </c>
      <c r="E393" s="1" t="s">
        <v>747</v>
      </c>
      <c r="F393" s="1" t="s">
        <v>749</v>
      </c>
      <c r="G393" s="1" t="s">
        <v>32</v>
      </c>
      <c r="H393" s="1" t="s">
        <v>749</v>
      </c>
      <c r="I393" s="1" t="s">
        <v>33</v>
      </c>
      <c r="J393" s="1" t="s">
        <v>749</v>
      </c>
      <c r="K393" s="1" t="s">
        <v>35</v>
      </c>
      <c r="L393" s="1" t="s">
        <v>749</v>
      </c>
      <c r="M393" s="1" t="s">
        <v>54</v>
      </c>
      <c r="N393" s="5">
        <v>49.536000000000001</v>
      </c>
      <c r="O393" s="27">
        <v>3</v>
      </c>
      <c r="P393" s="5">
        <v>17.337599999999998</v>
      </c>
      <c r="Q393" s="5">
        <v>16.512</v>
      </c>
    </row>
    <row r="394" spans="1:17">
      <c r="A394" s="1">
        <v>384</v>
      </c>
      <c r="B394" s="1" t="s">
        <v>750</v>
      </c>
      <c r="C394" s="1">
        <v>125395</v>
      </c>
      <c r="D394" s="7">
        <v>42184</v>
      </c>
      <c r="E394" s="1" t="s">
        <v>751</v>
      </c>
      <c r="F394" s="1" t="s">
        <v>752</v>
      </c>
      <c r="G394" s="1" t="s">
        <v>144</v>
      </c>
      <c r="H394" s="1" t="s">
        <v>752</v>
      </c>
      <c r="I394" s="1" t="s">
        <v>71</v>
      </c>
      <c r="J394" s="1" t="s">
        <v>752</v>
      </c>
      <c r="K394" s="1" t="s">
        <v>51</v>
      </c>
      <c r="L394" s="1" t="s">
        <v>752</v>
      </c>
      <c r="M394" s="1" t="s">
        <v>103</v>
      </c>
      <c r="N394" s="5">
        <v>41.9</v>
      </c>
      <c r="O394" s="27">
        <v>2</v>
      </c>
      <c r="P394" s="5">
        <v>8.7989999999999995</v>
      </c>
      <c r="Q394" s="5">
        <v>20.95</v>
      </c>
    </row>
    <row r="395" spans="1:17">
      <c r="A395" s="1">
        <v>385</v>
      </c>
      <c r="B395" s="1" t="s">
        <v>753</v>
      </c>
      <c r="C395" s="1">
        <v>168935</v>
      </c>
      <c r="D395" s="7">
        <v>42340</v>
      </c>
      <c r="E395" s="1" t="s">
        <v>754</v>
      </c>
      <c r="F395" s="1" t="s">
        <v>755</v>
      </c>
      <c r="G395" s="1" t="s">
        <v>39</v>
      </c>
      <c r="H395" s="1" t="s">
        <v>755</v>
      </c>
      <c r="I395" s="1" t="s">
        <v>24</v>
      </c>
      <c r="J395" s="1" t="s">
        <v>755</v>
      </c>
      <c r="K395" s="1" t="s">
        <v>26</v>
      </c>
      <c r="L395" s="1" t="s">
        <v>755</v>
      </c>
      <c r="M395" s="1" t="s">
        <v>41</v>
      </c>
      <c r="N395" s="5">
        <v>375.45750000000004</v>
      </c>
      <c r="O395" s="27">
        <v>3</v>
      </c>
      <c r="P395" s="5">
        <v>-157.00949999999997</v>
      </c>
      <c r="Q395" s="5">
        <v>125.1525</v>
      </c>
    </row>
    <row r="396" spans="1:17">
      <c r="A396" s="1">
        <v>386</v>
      </c>
      <c r="B396" s="1" t="s">
        <v>753</v>
      </c>
      <c r="C396" s="1">
        <v>168935</v>
      </c>
      <c r="D396" s="7">
        <v>42340</v>
      </c>
      <c r="E396" s="1" t="s">
        <v>754</v>
      </c>
      <c r="F396" s="1" t="s">
        <v>756</v>
      </c>
      <c r="G396" s="1" t="s">
        <v>39</v>
      </c>
      <c r="H396" s="1" t="s">
        <v>756</v>
      </c>
      <c r="I396" s="1" t="s">
        <v>24</v>
      </c>
      <c r="J396" s="1" t="s">
        <v>756</v>
      </c>
      <c r="K396" s="1" t="s">
        <v>51</v>
      </c>
      <c r="L396" s="1" t="s">
        <v>756</v>
      </c>
      <c r="M396" s="1" t="s">
        <v>103</v>
      </c>
      <c r="N396" s="5">
        <v>83.976000000000013</v>
      </c>
      <c r="O396" s="27">
        <v>3</v>
      </c>
      <c r="P396" s="5">
        <v>-1.049700000000005</v>
      </c>
      <c r="Q396" s="5">
        <v>27.992000000000001</v>
      </c>
    </row>
    <row r="397" spans="1:17">
      <c r="A397" s="1">
        <v>387</v>
      </c>
      <c r="B397" s="1" t="s">
        <v>757</v>
      </c>
      <c r="C397" s="1">
        <v>122756</v>
      </c>
      <c r="D397" s="7">
        <v>42345</v>
      </c>
      <c r="E397" s="1" t="s">
        <v>758</v>
      </c>
      <c r="F397" s="1" t="s">
        <v>759</v>
      </c>
      <c r="G397" s="1" t="s">
        <v>94</v>
      </c>
      <c r="H397" s="1" t="s">
        <v>759</v>
      </c>
      <c r="I397" s="1" t="s">
        <v>95</v>
      </c>
      <c r="J397" s="1" t="s">
        <v>759</v>
      </c>
      <c r="K397" s="1" t="s">
        <v>51</v>
      </c>
      <c r="L397" s="1" t="s">
        <v>759</v>
      </c>
      <c r="M397" s="1" t="s">
        <v>389</v>
      </c>
      <c r="N397" s="5">
        <v>482.34000000000003</v>
      </c>
      <c r="O397" s="27">
        <v>4</v>
      </c>
      <c r="P397" s="5">
        <v>-337.63799999999981</v>
      </c>
      <c r="Q397" s="5">
        <v>120.58499999999999</v>
      </c>
    </row>
    <row r="398" spans="1:17">
      <c r="A398" s="1">
        <v>388</v>
      </c>
      <c r="B398" s="1" t="s">
        <v>757</v>
      </c>
      <c r="C398" s="1">
        <v>122756</v>
      </c>
      <c r="D398" s="7">
        <v>42345</v>
      </c>
      <c r="E398" s="1" t="s">
        <v>758</v>
      </c>
      <c r="F398" s="1" t="s">
        <v>760</v>
      </c>
      <c r="G398" s="1" t="s">
        <v>94</v>
      </c>
      <c r="H398" s="1" t="s">
        <v>760</v>
      </c>
      <c r="I398" s="1" t="s">
        <v>95</v>
      </c>
      <c r="J398" s="1" t="s">
        <v>760</v>
      </c>
      <c r="K398" s="1" t="s">
        <v>26</v>
      </c>
      <c r="L398" s="1" t="s">
        <v>760</v>
      </c>
      <c r="M398" s="1" t="s">
        <v>47</v>
      </c>
      <c r="N398" s="5">
        <v>2.9600000000000004</v>
      </c>
      <c r="O398" s="27">
        <v>1</v>
      </c>
      <c r="P398" s="5">
        <v>0.77700000000000025</v>
      </c>
      <c r="Q398" s="5">
        <v>2.96</v>
      </c>
    </row>
    <row r="399" spans="1:17">
      <c r="A399" s="1">
        <v>389</v>
      </c>
      <c r="B399" s="1" t="s">
        <v>761</v>
      </c>
      <c r="C399" s="1">
        <v>115973</v>
      </c>
      <c r="D399" s="7">
        <v>41969</v>
      </c>
      <c r="E399" s="1" t="s">
        <v>762</v>
      </c>
      <c r="F399" s="1" t="s">
        <v>763</v>
      </c>
      <c r="G399" s="1" t="s">
        <v>288</v>
      </c>
      <c r="H399" s="1" t="s">
        <v>763</v>
      </c>
      <c r="I399" s="1" t="s">
        <v>95</v>
      </c>
      <c r="J399" s="1" t="s">
        <v>763</v>
      </c>
      <c r="K399" s="1" t="s">
        <v>35</v>
      </c>
      <c r="L399" s="1" t="s">
        <v>763</v>
      </c>
      <c r="M399" s="1" t="s">
        <v>49</v>
      </c>
      <c r="N399" s="5">
        <v>2.6240000000000001</v>
      </c>
      <c r="O399" s="27">
        <v>1</v>
      </c>
      <c r="P399" s="5">
        <v>0.42639999999999978</v>
      </c>
      <c r="Q399" s="5">
        <v>2.6240000000000001</v>
      </c>
    </row>
    <row r="400" spans="1:17">
      <c r="A400" s="1">
        <v>390</v>
      </c>
      <c r="B400" s="1" t="s">
        <v>764</v>
      </c>
      <c r="C400" s="1">
        <v>101798</v>
      </c>
      <c r="D400" s="7">
        <v>43084</v>
      </c>
      <c r="E400" s="1" t="s">
        <v>765</v>
      </c>
      <c r="F400" s="1" t="s">
        <v>766</v>
      </c>
      <c r="G400" s="1" t="s">
        <v>161</v>
      </c>
      <c r="H400" s="1" t="s">
        <v>766</v>
      </c>
      <c r="I400" s="1" t="s">
        <v>95</v>
      </c>
      <c r="J400" s="1" t="s">
        <v>766</v>
      </c>
      <c r="K400" s="1" t="s">
        <v>35</v>
      </c>
      <c r="L400" s="1" t="s">
        <v>766</v>
      </c>
      <c r="M400" s="1" t="s">
        <v>54</v>
      </c>
      <c r="N400" s="5">
        <v>23.36</v>
      </c>
      <c r="O400" s="27">
        <v>4</v>
      </c>
      <c r="P400" s="5">
        <v>7.8839999999999986</v>
      </c>
      <c r="Q400" s="5">
        <v>5.84</v>
      </c>
    </row>
    <row r="401" spans="1:17">
      <c r="A401" s="1">
        <v>391</v>
      </c>
      <c r="B401" s="1" t="s">
        <v>764</v>
      </c>
      <c r="C401" s="1">
        <v>101798</v>
      </c>
      <c r="D401" s="7">
        <v>43084</v>
      </c>
      <c r="E401" s="1" t="s">
        <v>765</v>
      </c>
      <c r="F401" s="1" t="s">
        <v>229</v>
      </c>
      <c r="G401" s="1" t="s">
        <v>161</v>
      </c>
      <c r="H401" s="1" t="s">
        <v>229</v>
      </c>
      <c r="I401" s="1" t="s">
        <v>95</v>
      </c>
      <c r="J401" s="1" t="s">
        <v>229</v>
      </c>
      <c r="K401" s="1" t="s">
        <v>51</v>
      </c>
      <c r="L401" s="1" t="s">
        <v>229</v>
      </c>
      <c r="M401" s="1" t="s">
        <v>103</v>
      </c>
      <c r="N401" s="5">
        <v>39.979999999999997</v>
      </c>
      <c r="O401" s="27">
        <v>2</v>
      </c>
      <c r="P401" s="5">
        <v>13.593199999999996</v>
      </c>
      <c r="Q401" s="5">
        <v>19.989999999999998</v>
      </c>
    </row>
    <row r="402" spans="1:17">
      <c r="A402" s="1">
        <v>392</v>
      </c>
      <c r="B402" s="1" t="s">
        <v>767</v>
      </c>
      <c r="C402" s="1">
        <v>135972</v>
      </c>
      <c r="D402" s="7">
        <v>41905</v>
      </c>
      <c r="E402" s="1" t="s">
        <v>768</v>
      </c>
      <c r="F402" s="1" t="s">
        <v>769</v>
      </c>
      <c r="G402" s="1" t="s">
        <v>66</v>
      </c>
      <c r="H402" s="1" t="s">
        <v>769</v>
      </c>
      <c r="I402" s="1" t="s">
        <v>33</v>
      </c>
      <c r="J402" s="1" t="s">
        <v>769</v>
      </c>
      <c r="K402" s="1" t="s">
        <v>51</v>
      </c>
      <c r="L402" s="1" t="s">
        <v>769</v>
      </c>
      <c r="M402" s="1" t="s">
        <v>52</v>
      </c>
      <c r="N402" s="5">
        <v>246.38400000000001</v>
      </c>
      <c r="O402" s="27">
        <v>2</v>
      </c>
      <c r="P402" s="5">
        <v>27.718199999999968</v>
      </c>
      <c r="Q402" s="5">
        <v>123.19199999999999</v>
      </c>
    </row>
    <row r="403" spans="1:17">
      <c r="A403" s="1">
        <v>393</v>
      </c>
      <c r="B403" s="1" t="s">
        <v>767</v>
      </c>
      <c r="C403" s="1">
        <v>135972</v>
      </c>
      <c r="D403" s="7">
        <v>41905</v>
      </c>
      <c r="E403" s="1" t="s">
        <v>768</v>
      </c>
      <c r="F403" s="1" t="s">
        <v>770</v>
      </c>
      <c r="G403" s="1" t="s">
        <v>66</v>
      </c>
      <c r="H403" s="1" t="s">
        <v>770</v>
      </c>
      <c r="I403" s="1" t="s">
        <v>33</v>
      </c>
      <c r="J403" s="1" t="s">
        <v>770</v>
      </c>
      <c r="K403" s="1" t="s">
        <v>51</v>
      </c>
      <c r="L403" s="1" t="s">
        <v>770</v>
      </c>
      <c r="M403" s="1" t="s">
        <v>679</v>
      </c>
      <c r="N403" s="5">
        <v>1799.97</v>
      </c>
      <c r="O403" s="27">
        <v>3</v>
      </c>
      <c r="P403" s="5">
        <v>701.98829999999998</v>
      </c>
      <c r="Q403" s="5">
        <v>599.99</v>
      </c>
    </row>
    <row r="404" spans="1:17">
      <c r="A404" s="1">
        <v>394</v>
      </c>
      <c r="B404" s="1" t="s">
        <v>771</v>
      </c>
      <c r="C404" s="1">
        <v>134971</v>
      </c>
      <c r="D404" s="7">
        <v>41800</v>
      </c>
      <c r="E404" s="1" t="s">
        <v>772</v>
      </c>
      <c r="F404" s="1" t="s">
        <v>773</v>
      </c>
      <c r="G404" s="1" t="s">
        <v>129</v>
      </c>
      <c r="H404" s="1" t="s">
        <v>773</v>
      </c>
      <c r="I404" s="1" t="s">
        <v>71</v>
      </c>
      <c r="J404" s="1" t="s">
        <v>773</v>
      </c>
      <c r="K404" s="1" t="s">
        <v>35</v>
      </c>
      <c r="L404" s="1" t="s">
        <v>773</v>
      </c>
      <c r="M404" s="1" t="s">
        <v>54</v>
      </c>
      <c r="N404" s="5">
        <v>12.461999999999996</v>
      </c>
      <c r="O404" s="27">
        <v>3</v>
      </c>
      <c r="P404" s="5">
        <v>-20.5623</v>
      </c>
      <c r="Q404" s="5">
        <v>4.1539999999999999</v>
      </c>
    </row>
    <row r="405" spans="1:17">
      <c r="A405" s="1">
        <v>395</v>
      </c>
      <c r="B405" s="1" t="s">
        <v>774</v>
      </c>
      <c r="C405" s="1">
        <v>102946</v>
      </c>
      <c r="D405" s="7">
        <v>42921</v>
      </c>
      <c r="E405" s="1" t="s">
        <v>775</v>
      </c>
      <c r="F405" s="1" t="s">
        <v>777</v>
      </c>
      <c r="G405" s="1" t="s">
        <v>776</v>
      </c>
      <c r="H405" s="1" t="s">
        <v>777</v>
      </c>
      <c r="I405" s="1" t="s">
        <v>33</v>
      </c>
      <c r="J405" s="1" t="s">
        <v>777</v>
      </c>
      <c r="K405" s="1" t="s">
        <v>35</v>
      </c>
      <c r="L405" s="1" t="s">
        <v>777</v>
      </c>
      <c r="M405" s="1" t="s">
        <v>54</v>
      </c>
      <c r="N405" s="5">
        <v>75.792000000000002</v>
      </c>
      <c r="O405" s="27">
        <v>3</v>
      </c>
      <c r="P405" s="5">
        <v>25.579799999999992</v>
      </c>
      <c r="Q405" s="5">
        <v>25.263999999999999</v>
      </c>
    </row>
    <row r="406" spans="1:17">
      <c r="A406" s="1">
        <v>396</v>
      </c>
      <c r="B406" s="1" t="s">
        <v>778</v>
      </c>
      <c r="C406" s="1">
        <v>165603</v>
      </c>
      <c r="D406" s="7">
        <v>43027</v>
      </c>
      <c r="E406" s="1" t="s">
        <v>779</v>
      </c>
      <c r="F406" s="1" t="s">
        <v>781</v>
      </c>
      <c r="G406" s="1" t="s">
        <v>780</v>
      </c>
      <c r="H406" s="1" t="s">
        <v>781</v>
      </c>
      <c r="I406" s="1" t="s">
        <v>95</v>
      </c>
      <c r="J406" s="1" t="s">
        <v>781</v>
      </c>
      <c r="K406" s="1" t="s">
        <v>35</v>
      </c>
      <c r="L406" s="1" t="s">
        <v>781</v>
      </c>
      <c r="M406" s="1" t="s">
        <v>43</v>
      </c>
      <c r="N406" s="5">
        <v>49.96</v>
      </c>
      <c r="O406" s="27">
        <v>2</v>
      </c>
      <c r="P406" s="5">
        <v>9.4923999999999964</v>
      </c>
      <c r="Q406" s="5">
        <v>24.98</v>
      </c>
    </row>
    <row r="407" spans="1:17">
      <c r="A407" s="1">
        <v>397</v>
      </c>
      <c r="B407" s="1" t="s">
        <v>778</v>
      </c>
      <c r="C407" s="1">
        <v>165603</v>
      </c>
      <c r="D407" s="7">
        <v>43027</v>
      </c>
      <c r="E407" s="1" t="s">
        <v>779</v>
      </c>
      <c r="F407" s="1" t="s">
        <v>782</v>
      </c>
      <c r="G407" s="1" t="s">
        <v>780</v>
      </c>
      <c r="H407" s="1" t="s">
        <v>782</v>
      </c>
      <c r="I407" s="1" t="s">
        <v>95</v>
      </c>
      <c r="J407" s="1" t="s">
        <v>782</v>
      </c>
      <c r="K407" s="1" t="s">
        <v>35</v>
      </c>
      <c r="L407" s="1" t="s">
        <v>782</v>
      </c>
      <c r="M407" s="1" t="s">
        <v>63</v>
      </c>
      <c r="N407" s="5">
        <v>12.96</v>
      </c>
      <c r="O407" s="27">
        <v>2</v>
      </c>
      <c r="P407" s="5">
        <v>6.2208000000000006</v>
      </c>
      <c r="Q407" s="5">
        <v>6.48</v>
      </c>
    </row>
    <row r="408" spans="1:17">
      <c r="A408" s="1">
        <v>398</v>
      </c>
      <c r="B408" s="1" t="s">
        <v>783</v>
      </c>
      <c r="C408" s="1">
        <v>122259</v>
      </c>
      <c r="D408" s="7">
        <v>42312</v>
      </c>
      <c r="E408" s="1" t="s">
        <v>69</v>
      </c>
      <c r="F408" s="1" t="s">
        <v>784</v>
      </c>
      <c r="G408" s="1" t="s">
        <v>144</v>
      </c>
      <c r="H408" s="1" t="s">
        <v>784</v>
      </c>
      <c r="I408" s="1" t="s">
        <v>71</v>
      </c>
      <c r="J408" s="1" t="s">
        <v>784</v>
      </c>
      <c r="K408" s="1" t="s">
        <v>35</v>
      </c>
      <c r="L408" s="1" t="s">
        <v>784</v>
      </c>
      <c r="M408" s="1" t="s">
        <v>331</v>
      </c>
      <c r="N408" s="5">
        <v>70.12</v>
      </c>
      <c r="O408" s="27">
        <v>4</v>
      </c>
      <c r="P408" s="5">
        <v>21.035999999999994</v>
      </c>
      <c r="Q408" s="5">
        <v>17.53</v>
      </c>
    </row>
    <row r="409" spans="1:17">
      <c r="A409" s="1">
        <v>399</v>
      </c>
      <c r="B409" s="1" t="s">
        <v>785</v>
      </c>
      <c r="C409" s="1">
        <v>108987</v>
      </c>
      <c r="D409" s="7">
        <v>42623</v>
      </c>
      <c r="E409" s="1" t="s">
        <v>786</v>
      </c>
      <c r="F409" s="1" t="s">
        <v>787</v>
      </c>
      <c r="G409" s="1" t="s">
        <v>70</v>
      </c>
      <c r="H409" s="1" t="s">
        <v>787</v>
      </c>
      <c r="I409" s="1" t="s">
        <v>71</v>
      </c>
      <c r="J409" s="1" t="s">
        <v>787</v>
      </c>
      <c r="K409" s="1" t="s">
        <v>35</v>
      </c>
      <c r="L409" s="1" t="s">
        <v>787</v>
      </c>
      <c r="M409" s="1" t="s">
        <v>43</v>
      </c>
      <c r="N409" s="5">
        <v>35.952000000000005</v>
      </c>
      <c r="O409" s="27">
        <v>3</v>
      </c>
      <c r="P409" s="5">
        <v>3.5951999999999984</v>
      </c>
      <c r="Q409" s="5">
        <v>11.984</v>
      </c>
    </row>
    <row r="410" spans="1:17">
      <c r="A410" s="1">
        <v>400</v>
      </c>
      <c r="B410" s="1" t="s">
        <v>785</v>
      </c>
      <c r="C410" s="1">
        <v>108987</v>
      </c>
      <c r="D410" s="7">
        <v>42623</v>
      </c>
      <c r="E410" s="1" t="s">
        <v>786</v>
      </c>
      <c r="F410" s="1" t="s">
        <v>106</v>
      </c>
      <c r="G410" s="1" t="s">
        <v>70</v>
      </c>
      <c r="H410" s="1" t="s">
        <v>106</v>
      </c>
      <c r="I410" s="1" t="s">
        <v>71</v>
      </c>
      <c r="J410" s="1" t="s">
        <v>106</v>
      </c>
      <c r="K410" s="1" t="s">
        <v>26</v>
      </c>
      <c r="L410" s="1" t="s">
        <v>106</v>
      </c>
      <c r="M410" s="1" t="s">
        <v>27</v>
      </c>
      <c r="N410" s="5">
        <v>2396.2655999999997</v>
      </c>
      <c r="O410" s="27">
        <v>4</v>
      </c>
      <c r="P410" s="5">
        <v>-317.15280000000007</v>
      </c>
      <c r="Q410" s="5">
        <v>599.06640000000004</v>
      </c>
    </row>
    <row r="411" spans="1:17">
      <c r="A411" s="1">
        <v>401</v>
      </c>
      <c r="B411" s="1" t="s">
        <v>785</v>
      </c>
      <c r="C411" s="1">
        <v>108987</v>
      </c>
      <c r="D411" s="7">
        <v>42623</v>
      </c>
      <c r="E411" s="1" t="s">
        <v>786</v>
      </c>
      <c r="F411" s="1" t="s">
        <v>788</v>
      </c>
      <c r="G411" s="1" t="s">
        <v>70</v>
      </c>
      <c r="H411" s="1" t="s">
        <v>788</v>
      </c>
      <c r="I411" s="1" t="s">
        <v>71</v>
      </c>
      <c r="J411" s="1" t="s">
        <v>788</v>
      </c>
      <c r="K411" s="1" t="s">
        <v>35</v>
      </c>
      <c r="L411" s="1" t="s">
        <v>788</v>
      </c>
      <c r="M411" s="1" t="s">
        <v>43</v>
      </c>
      <c r="N411" s="5">
        <v>131.136</v>
      </c>
      <c r="O411" s="27">
        <v>4</v>
      </c>
      <c r="P411" s="5">
        <v>-32.783999999999999</v>
      </c>
      <c r="Q411" s="5">
        <v>32.783999999999999</v>
      </c>
    </row>
    <row r="412" spans="1:17">
      <c r="A412" s="1">
        <v>402</v>
      </c>
      <c r="B412" s="1" t="s">
        <v>785</v>
      </c>
      <c r="C412" s="1">
        <v>108987</v>
      </c>
      <c r="D412" s="7">
        <v>42623</v>
      </c>
      <c r="E412" s="1" t="s">
        <v>786</v>
      </c>
      <c r="F412" s="1" t="s">
        <v>789</v>
      </c>
      <c r="G412" s="1" t="s">
        <v>70</v>
      </c>
      <c r="H412" s="1" t="s">
        <v>789</v>
      </c>
      <c r="I412" s="1" t="s">
        <v>71</v>
      </c>
      <c r="J412" s="1" t="s">
        <v>789</v>
      </c>
      <c r="K412" s="1" t="s">
        <v>51</v>
      </c>
      <c r="L412" s="1" t="s">
        <v>789</v>
      </c>
      <c r="M412" s="1" t="s">
        <v>103</v>
      </c>
      <c r="N412" s="5">
        <v>57.584000000000003</v>
      </c>
      <c r="O412" s="27">
        <v>2</v>
      </c>
      <c r="P412" s="5">
        <v>0.71979999999999933</v>
      </c>
      <c r="Q412" s="5">
        <v>28.792000000000002</v>
      </c>
    </row>
    <row r="413" spans="1:17">
      <c r="A413" s="1">
        <v>403</v>
      </c>
      <c r="B413" s="1" t="s">
        <v>790</v>
      </c>
      <c r="C413" s="1">
        <v>113166</v>
      </c>
      <c r="D413" s="7">
        <v>41999</v>
      </c>
      <c r="E413" s="1" t="s">
        <v>791</v>
      </c>
      <c r="F413" s="1" t="s">
        <v>792</v>
      </c>
      <c r="G413" s="1" t="s">
        <v>39</v>
      </c>
      <c r="H413" s="1" t="s">
        <v>792</v>
      </c>
      <c r="I413" s="1" t="s">
        <v>24</v>
      </c>
      <c r="J413" s="1" t="s">
        <v>792</v>
      </c>
      <c r="K413" s="1" t="s">
        <v>35</v>
      </c>
      <c r="L413" s="1" t="s">
        <v>792</v>
      </c>
      <c r="M413" s="1" t="s">
        <v>63</v>
      </c>
      <c r="N413" s="5">
        <v>9.5680000000000014</v>
      </c>
      <c r="O413" s="27">
        <v>2</v>
      </c>
      <c r="P413" s="5">
        <v>3.4683999999999999</v>
      </c>
      <c r="Q413" s="5">
        <v>4.7839999999999998</v>
      </c>
    </row>
    <row r="414" spans="1:17">
      <c r="A414" s="1">
        <v>404</v>
      </c>
      <c r="B414" s="1" t="s">
        <v>793</v>
      </c>
      <c r="C414" s="1">
        <v>155208</v>
      </c>
      <c r="D414" s="7">
        <v>41749</v>
      </c>
      <c r="E414" s="1" t="s">
        <v>358</v>
      </c>
      <c r="F414" s="1" t="s">
        <v>794</v>
      </c>
      <c r="G414" s="1" t="s">
        <v>61</v>
      </c>
      <c r="H414" s="1" t="s">
        <v>794</v>
      </c>
      <c r="I414" s="1" t="s">
        <v>24</v>
      </c>
      <c r="J414" s="1" t="s">
        <v>794</v>
      </c>
      <c r="K414" s="1" t="s">
        <v>35</v>
      </c>
      <c r="L414" s="1" t="s">
        <v>794</v>
      </c>
      <c r="M414" s="1" t="s">
        <v>49</v>
      </c>
      <c r="N414" s="5">
        <v>39.072000000000003</v>
      </c>
      <c r="O414" s="27">
        <v>6</v>
      </c>
      <c r="P414" s="5">
        <v>9.7680000000000007</v>
      </c>
      <c r="Q414" s="5">
        <v>6.5119999999999996</v>
      </c>
    </row>
    <row r="415" spans="1:17">
      <c r="A415" s="1">
        <v>405</v>
      </c>
      <c r="B415" s="1" t="s">
        <v>795</v>
      </c>
      <c r="C415" s="1">
        <v>117933</v>
      </c>
      <c r="D415" s="7">
        <v>43098</v>
      </c>
      <c r="E415" s="1" t="s">
        <v>796</v>
      </c>
      <c r="F415" s="1" t="s">
        <v>797</v>
      </c>
      <c r="G415" s="1" t="s">
        <v>161</v>
      </c>
      <c r="H415" s="1" t="s">
        <v>797</v>
      </c>
      <c r="I415" s="1" t="s">
        <v>95</v>
      </c>
      <c r="J415" s="1" t="s">
        <v>797</v>
      </c>
      <c r="K415" s="1" t="s">
        <v>35</v>
      </c>
      <c r="L415" s="1" t="s">
        <v>797</v>
      </c>
      <c r="M415" s="1" t="s">
        <v>56</v>
      </c>
      <c r="N415" s="5">
        <v>35.910000000000004</v>
      </c>
      <c r="O415" s="27">
        <v>3</v>
      </c>
      <c r="P415" s="5">
        <v>9.6956999999999987</v>
      </c>
      <c r="Q415" s="5">
        <v>11.97</v>
      </c>
    </row>
    <row r="416" spans="1:17">
      <c r="A416" s="1">
        <v>406</v>
      </c>
      <c r="B416" s="1" t="s">
        <v>798</v>
      </c>
      <c r="C416" s="1">
        <v>117457</v>
      </c>
      <c r="D416" s="7">
        <v>43081</v>
      </c>
      <c r="E416" s="1" t="s">
        <v>799</v>
      </c>
      <c r="F416" s="1" t="s">
        <v>789</v>
      </c>
      <c r="G416" s="1" t="s">
        <v>32</v>
      </c>
      <c r="H416" s="1" t="s">
        <v>789</v>
      </c>
      <c r="I416" s="1" t="s">
        <v>33</v>
      </c>
      <c r="J416" s="1" t="s">
        <v>789</v>
      </c>
      <c r="K416" s="1" t="s">
        <v>51</v>
      </c>
      <c r="L416" s="1" t="s">
        <v>789</v>
      </c>
      <c r="M416" s="1" t="s">
        <v>103</v>
      </c>
      <c r="N416" s="5">
        <v>179.95000000000002</v>
      </c>
      <c r="O416" s="27">
        <v>5</v>
      </c>
      <c r="P416" s="5">
        <v>37.789500000000004</v>
      </c>
      <c r="Q416" s="5">
        <v>35.99</v>
      </c>
    </row>
    <row r="417" spans="1:17">
      <c r="A417" s="1">
        <v>407</v>
      </c>
      <c r="B417" s="1" t="s">
        <v>798</v>
      </c>
      <c r="C417" s="1">
        <v>117457</v>
      </c>
      <c r="D417" s="7">
        <v>43081</v>
      </c>
      <c r="E417" s="1" t="s">
        <v>799</v>
      </c>
      <c r="F417" s="1" t="s">
        <v>800</v>
      </c>
      <c r="G417" s="1" t="s">
        <v>32</v>
      </c>
      <c r="H417" s="1" t="s">
        <v>800</v>
      </c>
      <c r="I417" s="1" t="s">
        <v>33</v>
      </c>
      <c r="J417" s="1" t="s">
        <v>800</v>
      </c>
      <c r="K417" s="1" t="s">
        <v>51</v>
      </c>
      <c r="L417" s="1" t="s">
        <v>800</v>
      </c>
      <c r="M417" s="1" t="s">
        <v>679</v>
      </c>
      <c r="N417" s="5">
        <v>1199.9760000000001</v>
      </c>
      <c r="O417" s="27">
        <v>3</v>
      </c>
      <c r="P417" s="5">
        <v>434.99130000000002</v>
      </c>
      <c r="Q417" s="5">
        <v>399.99200000000002</v>
      </c>
    </row>
    <row r="418" spans="1:17">
      <c r="A418" s="1">
        <v>408</v>
      </c>
      <c r="B418" s="1" t="s">
        <v>798</v>
      </c>
      <c r="C418" s="1">
        <v>117457</v>
      </c>
      <c r="D418" s="7">
        <v>43081</v>
      </c>
      <c r="E418" s="1" t="s">
        <v>799</v>
      </c>
      <c r="F418" s="1" t="s">
        <v>801</v>
      </c>
      <c r="G418" s="1" t="s">
        <v>32</v>
      </c>
      <c r="H418" s="1" t="s">
        <v>801</v>
      </c>
      <c r="I418" s="1" t="s">
        <v>33</v>
      </c>
      <c r="J418" s="1" t="s">
        <v>801</v>
      </c>
      <c r="K418" s="1" t="s">
        <v>35</v>
      </c>
      <c r="L418" s="1" t="s">
        <v>801</v>
      </c>
      <c r="M418" s="1" t="s">
        <v>63</v>
      </c>
      <c r="N418" s="5">
        <v>27.15</v>
      </c>
      <c r="O418" s="27">
        <v>5</v>
      </c>
      <c r="P418" s="5">
        <v>13.3035</v>
      </c>
      <c r="Q418" s="5">
        <v>5.43</v>
      </c>
    </row>
    <row r="419" spans="1:17">
      <c r="A419" s="1">
        <v>409</v>
      </c>
      <c r="B419" s="1" t="s">
        <v>798</v>
      </c>
      <c r="C419" s="1">
        <v>117457</v>
      </c>
      <c r="D419" s="7">
        <v>43081</v>
      </c>
      <c r="E419" s="1" t="s">
        <v>799</v>
      </c>
      <c r="F419" s="1" t="s">
        <v>802</v>
      </c>
      <c r="G419" s="1" t="s">
        <v>32</v>
      </c>
      <c r="H419" s="1" t="s">
        <v>802</v>
      </c>
      <c r="I419" s="1" t="s">
        <v>33</v>
      </c>
      <c r="J419" s="1" t="s">
        <v>802</v>
      </c>
      <c r="K419" s="1" t="s">
        <v>26</v>
      </c>
      <c r="L419" s="1" t="s">
        <v>802</v>
      </c>
      <c r="M419" s="1" t="s">
        <v>41</v>
      </c>
      <c r="N419" s="5">
        <v>1004.0239999999999</v>
      </c>
      <c r="O419" s="27">
        <v>7</v>
      </c>
      <c r="P419" s="5">
        <v>-112.95269999999994</v>
      </c>
      <c r="Q419" s="5">
        <v>143.43199999999999</v>
      </c>
    </row>
    <row r="420" spans="1:17">
      <c r="A420" s="1">
        <v>410</v>
      </c>
      <c r="B420" s="1" t="s">
        <v>798</v>
      </c>
      <c r="C420" s="1">
        <v>117457</v>
      </c>
      <c r="D420" s="7">
        <v>43081</v>
      </c>
      <c r="E420" s="1" t="s">
        <v>799</v>
      </c>
      <c r="F420" s="1" t="s">
        <v>803</v>
      </c>
      <c r="G420" s="1" t="s">
        <v>32</v>
      </c>
      <c r="H420" s="1" t="s">
        <v>803</v>
      </c>
      <c r="I420" s="1" t="s">
        <v>33</v>
      </c>
      <c r="J420" s="1" t="s">
        <v>803</v>
      </c>
      <c r="K420" s="1" t="s">
        <v>35</v>
      </c>
      <c r="L420" s="1" t="s">
        <v>803</v>
      </c>
      <c r="M420" s="1" t="s">
        <v>63</v>
      </c>
      <c r="N420" s="5">
        <v>9.68</v>
      </c>
      <c r="O420" s="27">
        <v>1</v>
      </c>
      <c r="P420" s="5">
        <v>4.6463999999999999</v>
      </c>
      <c r="Q420" s="5">
        <v>9.68</v>
      </c>
    </row>
    <row r="421" spans="1:17">
      <c r="A421" s="1">
        <v>411</v>
      </c>
      <c r="B421" s="1" t="s">
        <v>798</v>
      </c>
      <c r="C421" s="1">
        <v>117457</v>
      </c>
      <c r="D421" s="7">
        <v>43081</v>
      </c>
      <c r="E421" s="1" t="s">
        <v>799</v>
      </c>
      <c r="F421" s="1" t="s">
        <v>804</v>
      </c>
      <c r="G421" s="1" t="s">
        <v>32</v>
      </c>
      <c r="H421" s="1" t="s">
        <v>804</v>
      </c>
      <c r="I421" s="1" t="s">
        <v>33</v>
      </c>
      <c r="J421" s="1" t="s">
        <v>804</v>
      </c>
      <c r="K421" s="1" t="s">
        <v>35</v>
      </c>
      <c r="L421" s="1" t="s">
        <v>804</v>
      </c>
      <c r="M421" s="1" t="s">
        <v>36</v>
      </c>
      <c r="N421" s="5">
        <v>28.349999999999998</v>
      </c>
      <c r="O421" s="27">
        <v>9</v>
      </c>
      <c r="P421" s="5">
        <v>13.608000000000001</v>
      </c>
      <c r="Q421" s="5">
        <v>3.15</v>
      </c>
    </row>
    <row r="422" spans="1:17">
      <c r="A422" s="1">
        <v>412</v>
      </c>
      <c r="B422" s="1" t="s">
        <v>798</v>
      </c>
      <c r="C422" s="1">
        <v>117457</v>
      </c>
      <c r="D422" s="7">
        <v>43081</v>
      </c>
      <c r="E422" s="1" t="s">
        <v>799</v>
      </c>
      <c r="F422" s="1" t="s">
        <v>699</v>
      </c>
      <c r="G422" s="1" t="s">
        <v>32</v>
      </c>
      <c r="H422" s="1" t="s">
        <v>699</v>
      </c>
      <c r="I422" s="1" t="s">
        <v>33</v>
      </c>
      <c r="J422" s="1" t="s">
        <v>699</v>
      </c>
      <c r="K422" s="1" t="s">
        <v>35</v>
      </c>
      <c r="L422" s="1" t="s">
        <v>699</v>
      </c>
      <c r="M422" s="1" t="s">
        <v>63</v>
      </c>
      <c r="N422" s="5">
        <v>55.98</v>
      </c>
      <c r="O422" s="27">
        <v>1</v>
      </c>
      <c r="P422" s="5">
        <v>27.430199999999999</v>
      </c>
      <c r="Q422" s="5">
        <v>55.98</v>
      </c>
    </row>
    <row r="423" spans="1:17">
      <c r="A423" s="1">
        <v>413</v>
      </c>
      <c r="B423" s="1" t="s">
        <v>798</v>
      </c>
      <c r="C423" s="1">
        <v>117457</v>
      </c>
      <c r="D423" s="7">
        <v>43081</v>
      </c>
      <c r="E423" s="1" t="s">
        <v>799</v>
      </c>
      <c r="F423" s="1" t="s">
        <v>805</v>
      </c>
      <c r="G423" s="1" t="s">
        <v>32</v>
      </c>
      <c r="H423" s="1" t="s">
        <v>805</v>
      </c>
      <c r="I423" s="1" t="s">
        <v>33</v>
      </c>
      <c r="J423" s="1" t="s">
        <v>805</v>
      </c>
      <c r="K423" s="1" t="s">
        <v>26</v>
      </c>
      <c r="L423" s="1" t="s">
        <v>805</v>
      </c>
      <c r="M423" s="1" t="s">
        <v>27</v>
      </c>
      <c r="N423" s="5">
        <v>1336.829</v>
      </c>
      <c r="O423" s="27">
        <v>13</v>
      </c>
      <c r="P423" s="5">
        <v>31.454799999999949</v>
      </c>
      <c r="Q423" s="5">
        <v>102.833</v>
      </c>
    </row>
    <row r="424" spans="1:17">
      <c r="A424" s="1">
        <v>414</v>
      </c>
      <c r="B424" s="1" t="s">
        <v>798</v>
      </c>
      <c r="C424" s="1">
        <v>117457</v>
      </c>
      <c r="D424" s="7">
        <v>43081</v>
      </c>
      <c r="E424" s="1" t="s">
        <v>799</v>
      </c>
      <c r="F424" s="1" t="s">
        <v>806</v>
      </c>
      <c r="G424" s="1" t="s">
        <v>32</v>
      </c>
      <c r="H424" s="1" t="s">
        <v>806</v>
      </c>
      <c r="I424" s="1" t="s">
        <v>33</v>
      </c>
      <c r="J424" s="1" t="s">
        <v>806</v>
      </c>
      <c r="K424" s="1" t="s">
        <v>26</v>
      </c>
      <c r="L424" s="1" t="s">
        <v>806</v>
      </c>
      <c r="M424" s="1" t="s">
        <v>29</v>
      </c>
      <c r="N424" s="5">
        <v>113.56800000000001</v>
      </c>
      <c r="O424" s="27">
        <v>2</v>
      </c>
      <c r="P424" s="5">
        <v>-18.454800000000013</v>
      </c>
      <c r="Q424" s="5">
        <v>56.783999999999999</v>
      </c>
    </row>
    <row r="425" spans="1:17">
      <c r="A425" s="1">
        <v>415</v>
      </c>
      <c r="B425" s="1" t="s">
        <v>807</v>
      </c>
      <c r="C425" s="1">
        <v>142636</v>
      </c>
      <c r="D425" s="7">
        <v>43046</v>
      </c>
      <c r="E425" s="1" t="s">
        <v>808</v>
      </c>
      <c r="F425" s="1" t="s">
        <v>809</v>
      </c>
      <c r="G425" s="1" t="s">
        <v>66</v>
      </c>
      <c r="H425" s="1" t="s">
        <v>809</v>
      </c>
      <c r="I425" s="1" t="s">
        <v>33</v>
      </c>
      <c r="J425" s="1" t="s">
        <v>809</v>
      </c>
      <c r="K425" s="1" t="s">
        <v>35</v>
      </c>
      <c r="L425" s="1" t="s">
        <v>809</v>
      </c>
      <c r="M425" s="1" t="s">
        <v>63</v>
      </c>
      <c r="N425" s="5">
        <v>139.86000000000001</v>
      </c>
      <c r="O425" s="27">
        <v>7</v>
      </c>
      <c r="P425" s="5">
        <v>65.734199999999987</v>
      </c>
      <c r="Q425" s="5">
        <v>19.98</v>
      </c>
    </row>
    <row r="426" spans="1:17">
      <c r="A426" s="1">
        <v>416</v>
      </c>
      <c r="B426" s="1" t="s">
        <v>807</v>
      </c>
      <c r="C426" s="1">
        <v>142636</v>
      </c>
      <c r="D426" s="7">
        <v>43046</v>
      </c>
      <c r="E426" s="1" t="s">
        <v>808</v>
      </c>
      <c r="F426" s="1" t="s">
        <v>608</v>
      </c>
      <c r="G426" s="1" t="s">
        <v>66</v>
      </c>
      <c r="H426" s="1" t="s">
        <v>608</v>
      </c>
      <c r="I426" s="1" t="s">
        <v>33</v>
      </c>
      <c r="J426" s="1" t="s">
        <v>608</v>
      </c>
      <c r="K426" s="1" t="s">
        <v>26</v>
      </c>
      <c r="L426" s="1" t="s">
        <v>608</v>
      </c>
      <c r="M426" s="1" t="s">
        <v>29</v>
      </c>
      <c r="N426" s="5">
        <v>307.13600000000002</v>
      </c>
      <c r="O426" s="27">
        <v>4</v>
      </c>
      <c r="P426" s="5">
        <v>26.874400000000023</v>
      </c>
      <c r="Q426" s="5">
        <v>76.784000000000006</v>
      </c>
    </row>
    <row r="427" spans="1:17">
      <c r="A427" s="1">
        <v>417</v>
      </c>
      <c r="B427" s="1" t="s">
        <v>810</v>
      </c>
      <c r="C427" s="1">
        <v>122105</v>
      </c>
      <c r="D427" s="7">
        <v>42914</v>
      </c>
      <c r="E427" s="1" t="s">
        <v>811</v>
      </c>
      <c r="F427" s="1" t="s">
        <v>812</v>
      </c>
      <c r="G427" s="1" t="s">
        <v>32</v>
      </c>
      <c r="H427" s="1" t="s">
        <v>812</v>
      </c>
      <c r="I427" s="1" t="s">
        <v>33</v>
      </c>
      <c r="J427" s="1" t="s">
        <v>812</v>
      </c>
      <c r="K427" s="1" t="s">
        <v>35</v>
      </c>
      <c r="L427" s="1" t="s">
        <v>812</v>
      </c>
      <c r="M427" s="1" t="s">
        <v>49</v>
      </c>
      <c r="N427" s="5">
        <v>95.92</v>
      </c>
      <c r="O427" s="27">
        <v>8</v>
      </c>
      <c r="P427" s="5">
        <v>25.898399999999995</v>
      </c>
      <c r="Q427" s="5">
        <v>11.99</v>
      </c>
    </row>
    <row r="428" spans="1:17">
      <c r="A428" s="1">
        <v>418</v>
      </c>
      <c r="B428" s="1" t="s">
        <v>813</v>
      </c>
      <c r="C428" s="1">
        <v>148796</v>
      </c>
      <c r="D428" s="7">
        <v>42478</v>
      </c>
      <c r="E428" s="1" t="s">
        <v>814</v>
      </c>
      <c r="F428" s="1" t="s">
        <v>815</v>
      </c>
      <c r="G428" s="1" t="s">
        <v>32</v>
      </c>
      <c r="H428" s="1" t="s">
        <v>815</v>
      </c>
      <c r="I428" s="1" t="s">
        <v>33</v>
      </c>
      <c r="J428" s="1" t="s">
        <v>815</v>
      </c>
      <c r="K428" s="1" t="s">
        <v>26</v>
      </c>
      <c r="L428" s="1" t="s">
        <v>815</v>
      </c>
      <c r="M428" s="1" t="s">
        <v>29</v>
      </c>
      <c r="N428" s="5">
        <v>383.8</v>
      </c>
      <c r="O428" s="27">
        <v>5</v>
      </c>
      <c r="P428" s="5">
        <v>38.379999999999981</v>
      </c>
      <c r="Q428" s="5">
        <v>76.760000000000005</v>
      </c>
    </row>
    <row r="429" spans="1:17">
      <c r="A429" s="1">
        <v>419</v>
      </c>
      <c r="B429" s="1" t="s">
        <v>816</v>
      </c>
      <c r="C429" s="1">
        <v>154816</v>
      </c>
      <c r="D429" s="7">
        <v>43049</v>
      </c>
      <c r="E429" s="1" t="s">
        <v>710</v>
      </c>
      <c r="F429" s="1" t="s">
        <v>817</v>
      </c>
      <c r="G429" s="1" t="s">
        <v>23</v>
      </c>
      <c r="H429" s="1" t="s">
        <v>817</v>
      </c>
      <c r="I429" s="1" t="s">
        <v>24</v>
      </c>
      <c r="J429" s="1" t="s">
        <v>817</v>
      </c>
      <c r="K429" s="1" t="s">
        <v>35</v>
      </c>
      <c r="L429" s="1" t="s">
        <v>817</v>
      </c>
      <c r="M429" s="1" t="s">
        <v>63</v>
      </c>
      <c r="N429" s="5">
        <v>5.78</v>
      </c>
      <c r="O429" s="27">
        <v>1</v>
      </c>
      <c r="P429" s="5">
        <v>2.8322000000000003</v>
      </c>
      <c r="Q429" s="5">
        <v>5.78</v>
      </c>
    </row>
    <row r="430" spans="1:17">
      <c r="A430" s="1">
        <v>420</v>
      </c>
      <c r="B430" s="1" t="s">
        <v>818</v>
      </c>
      <c r="C430" s="1">
        <v>110478</v>
      </c>
      <c r="D430" s="7">
        <v>42803</v>
      </c>
      <c r="E430" s="1" t="s">
        <v>646</v>
      </c>
      <c r="F430" s="1" t="s">
        <v>819</v>
      </c>
      <c r="G430" s="1" t="s">
        <v>32</v>
      </c>
      <c r="H430" s="1" t="s">
        <v>819</v>
      </c>
      <c r="I430" s="1" t="s">
        <v>33</v>
      </c>
      <c r="J430" s="1" t="s">
        <v>819</v>
      </c>
      <c r="K430" s="1" t="s">
        <v>35</v>
      </c>
      <c r="L430" s="1" t="s">
        <v>819</v>
      </c>
      <c r="M430" s="1" t="s">
        <v>49</v>
      </c>
      <c r="N430" s="5">
        <v>9.32</v>
      </c>
      <c r="O430" s="27">
        <v>4</v>
      </c>
      <c r="P430" s="5">
        <v>2.702799999999999</v>
      </c>
      <c r="Q430" s="5">
        <v>2.33</v>
      </c>
    </row>
    <row r="431" spans="1:17">
      <c r="A431" s="1">
        <v>421</v>
      </c>
      <c r="B431" s="1" t="s">
        <v>818</v>
      </c>
      <c r="C431" s="1">
        <v>110478</v>
      </c>
      <c r="D431" s="7">
        <v>42803</v>
      </c>
      <c r="E431" s="1" t="s">
        <v>646</v>
      </c>
      <c r="F431" s="1" t="s">
        <v>820</v>
      </c>
      <c r="G431" s="1" t="s">
        <v>32</v>
      </c>
      <c r="H431" s="1" t="s">
        <v>820</v>
      </c>
      <c r="I431" s="1" t="s">
        <v>33</v>
      </c>
      <c r="J431" s="1" t="s">
        <v>820</v>
      </c>
      <c r="K431" s="1" t="s">
        <v>35</v>
      </c>
      <c r="L431" s="1" t="s">
        <v>820</v>
      </c>
      <c r="M431" s="1" t="s">
        <v>110</v>
      </c>
      <c r="N431" s="5">
        <v>15.25</v>
      </c>
      <c r="O431" s="27">
        <v>1</v>
      </c>
      <c r="P431" s="5">
        <v>7.0149999999999988</v>
      </c>
      <c r="Q431" s="5">
        <v>15.25</v>
      </c>
    </row>
    <row r="432" spans="1:17">
      <c r="A432" s="1">
        <v>422</v>
      </c>
      <c r="B432" s="1" t="s">
        <v>821</v>
      </c>
      <c r="C432" s="1">
        <v>142048</v>
      </c>
      <c r="D432" s="7">
        <v>41815</v>
      </c>
      <c r="E432" s="1" t="s">
        <v>197</v>
      </c>
      <c r="F432" s="1" t="s">
        <v>822</v>
      </c>
      <c r="G432" s="1" t="s">
        <v>266</v>
      </c>
      <c r="H432" s="1" t="s">
        <v>822</v>
      </c>
      <c r="I432" s="1" t="s">
        <v>33</v>
      </c>
      <c r="J432" s="1" t="s">
        <v>822</v>
      </c>
      <c r="K432" s="1" t="s">
        <v>51</v>
      </c>
      <c r="L432" s="1" t="s">
        <v>822</v>
      </c>
      <c r="M432" s="1" t="s">
        <v>103</v>
      </c>
      <c r="N432" s="5">
        <v>196.75200000000001</v>
      </c>
      <c r="O432" s="27">
        <v>6</v>
      </c>
      <c r="P432" s="5">
        <v>56.566200000000009</v>
      </c>
      <c r="Q432" s="5">
        <v>32.792000000000002</v>
      </c>
    </row>
    <row r="433" spans="1:17">
      <c r="A433" s="1">
        <v>423</v>
      </c>
      <c r="B433" s="1" t="s">
        <v>823</v>
      </c>
      <c r="C433" s="1">
        <v>125388</v>
      </c>
      <c r="D433" s="7">
        <v>43031</v>
      </c>
      <c r="E433" s="1" t="s">
        <v>824</v>
      </c>
      <c r="F433" s="1" t="s">
        <v>825</v>
      </c>
      <c r="G433" s="1" t="s">
        <v>695</v>
      </c>
      <c r="H433" s="1" t="s">
        <v>825</v>
      </c>
      <c r="I433" s="1" t="s">
        <v>95</v>
      </c>
      <c r="J433" s="1" t="s">
        <v>825</v>
      </c>
      <c r="K433" s="1" t="s">
        <v>26</v>
      </c>
      <c r="L433" s="1" t="s">
        <v>825</v>
      </c>
      <c r="M433" s="1" t="s">
        <v>47</v>
      </c>
      <c r="N433" s="5">
        <v>56.56</v>
      </c>
      <c r="O433" s="27">
        <v>4</v>
      </c>
      <c r="P433" s="5">
        <v>14.705600000000004</v>
      </c>
      <c r="Q433" s="5">
        <v>14.14</v>
      </c>
    </row>
    <row r="434" spans="1:17">
      <c r="A434" s="1">
        <v>424</v>
      </c>
      <c r="B434" s="1" t="s">
        <v>823</v>
      </c>
      <c r="C434" s="1">
        <v>125388</v>
      </c>
      <c r="D434" s="7">
        <v>43031</v>
      </c>
      <c r="E434" s="1" t="s">
        <v>824</v>
      </c>
      <c r="F434" s="1" t="s">
        <v>826</v>
      </c>
      <c r="G434" s="1" t="s">
        <v>695</v>
      </c>
      <c r="H434" s="1" t="s">
        <v>826</v>
      </c>
      <c r="I434" s="1" t="s">
        <v>95</v>
      </c>
      <c r="J434" s="1" t="s">
        <v>826</v>
      </c>
      <c r="K434" s="1" t="s">
        <v>35</v>
      </c>
      <c r="L434" s="1" t="s">
        <v>826</v>
      </c>
      <c r="M434" s="1" t="s">
        <v>43</v>
      </c>
      <c r="N434" s="5">
        <v>32.700000000000003</v>
      </c>
      <c r="O434" s="27">
        <v>3</v>
      </c>
      <c r="P434" s="5">
        <v>8.5019999999999989</v>
      </c>
      <c r="Q434" s="5">
        <v>10.9</v>
      </c>
    </row>
    <row r="435" spans="1:17">
      <c r="A435" s="1">
        <v>425</v>
      </c>
      <c r="B435" s="1" t="s">
        <v>827</v>
      </c>
      <c r="C435" s="1">
        <v>155705</v>
      </c>
      <c r="D435" s="7">
        <v>42970</v>
      </c>
      <c r="E435" s="1" t="s">
        <v>828</v>
      </c>
      <c r="F435" s="1" t="s">
        <v>830</v>
      </c>
      <c r="G435" s="1" t="s">
        <v>829</v>
      </c>
      <c r="H435" s="1" t="s">
        <v>830</v>
      </c>
      <c r="I435" s="1" t="s">
        <v>24</v>
      </c>
      <c r="J435" s="1" t="s">
        <v>830</v>
      </c>
      <c r="K435" s="1" t="s">
        <v>26</v>
      </c>
      <c r="L435" s="1" t="s">
        <v>830</v>
      </c>
      <c r="M435" s="1" t="s">
        <v>29</v>
      </c>
      <c r="N435" s="5">
        <v>866.4</v>
      </c>
      <c r="O435" s="27">
        <v>4</v>
      </c>
      <c r="P435" s="5">
        <v>225.26400000000001</v>
      </c>
      <c r="Q435" s="5">
        <v>216.6</v>
      </c>
    </row>
    <row r="436" spans="1:17">
      <c r="A436" s="1">
        <v>426</v>
      </c>
      <c r="B436" s="1" t="s">
        <v>831</v>
      </c>
      <c r="C436" s="1">
        <v>149160</v>
      </c>
      <c r="D436" s="7">
        <v>43065</v>
      </c>
      <c r="E436" s="1" t="s">
        <v>160</v>
      </c>
      <c r="F436" s="1" t="s">
        <v>832</v>
      </c>
      <c r="G436" s="1" t="s">
        <v>144</v>
      </c>
      <c r="H436" s="1" t="s">
        <v>832</v>
      </c>
      <c r="I436" s="1" t="s">
        <v>71</v>
      </c>
      <c r="J436" s="1" t="s">
        <v>832</v>
      </c>
      <c r="K436" s="1" t="s">
        <v>26</v>
      </c>
      <c r="L436" s="1" t="s">
        <v>832</v>
      </c>
      <c r="M436" s="1" t="s">
        <v>47</v>
      </c>
      <c r="N436" s="5">
        <v>28.4</v>
      </c>
      <c r="O436" s="27">
        <v>2</v>
      </c>
      <c r="P436" s="5">
        <v>11.076000000000001</v>
      </c>
      <c r="Q436" s="5">
        <v>14.2</v>
      </c>
    </row>
    <row r="437" spans="1:17">
      <c r="A437" s="1">
        <v>427</v>
      </c>
      <c r="B437" s="1" t="s">
        <v>831</v>
      </c>
      <c r="C437" s="1">
        <v>149160</v>
      </c>
      <c r="D437" s="7">
        <v>43065</v>
      </c>
      <c r="E437" s="1" t="s">
        <v>160</v>
      </c>
      <c r="F437" s="1" t="s">
        <v>833</v>
      </c>
      <c r="G437" s="1" t="s">
        <v>144</v>
      </c>
      <c r="H437" s="1" t="s">
        <v>833</v>
      </c>
      <c r="I437" s="1" t="s">
        <v>71</v>
      </c>
      <c r="J437" s="1" t="s">
        <v>833</v>
      </c>
      <c r="K437" s="1" t="s">
        <v>35</v>
      </c>
      <c r="L437" s="1" t="s">
        <v>833</v>
      </c>
      <c r="M437" s="1" t="s">
        <v>54</v>
      </c>
      <c r="N437" s="5">
        <v>287.92</v>
      </c>
      <c r="O437" s="27">
        <v>8</v>
      </c>
      <c r="P437" s="5">
        <v>138.20160000000001</v>
      </c>
      <c r="Q437" s="5">
        <v>35.99</v>
      </c>
    </row>
    <row r="438" spans="1:17">
      <c r="A438" s="1">
        <v>428</v>
      </c>
      <c r="B438" s="1" t="s">
        <v>834</v>
      </c>
      <c r="C438" s="1">
        <v>101476</v>
      </c>
      <c r="D438" s="7">
        <v>41895</v>
      </c>
      <c r="E438" s="1" t="s">
        <v>835</v>
      </c>
      <c r="F438" s="1" t="s">
        <v>836</v>
      </c>
      <c r="G438" s="1" t="s">
        <v>161</v>
      </c>
      <c r="H438" s="1" t="s">
        <v>836</v>
      </c>
      <c r="I438" s="1" t="s">
        <v>95</v>
      </c>
      <c r="J438" s="1" t="s">
        <v>836</v>
      </c>
      <c r="K438" s="1" t="s">
        <v>51</v>
      </c>
      <c r="L438" s="1" t="s">
        <v>836</v>
      </c>
      <c r="M438" s="1" t="s">
        <v>389</v>
      </c>
      <c r="N438" s="5">
        <v>69.989999999999995</v>
      </c>
      <c r="O438" s="27">
        <v>1</v>
      </c>
      <c r="P438" s="5">
        <v>30.095700000000001</v>
      </c>
      <c r="Q438" s="5">
        <v>69.989999999999995</v>
      </c>
    </row>
    <row r="439" spans="1:17">
      <c r="A439" s="1">
        <v>429</v>
      </c>
      <c r="B439" s="1" t="s">
        <v>837</v>
      </c>
      <c r="C439" s="1">
        <v>152275</v>
      </c>
      <c r="D439" s="7">
        <v>43016</v>
      </c>
      <c r="E439" s="1" t="s">
        <v>838</v>
      </c>
      <c r="F439" s="1" t="s">
        <v>839</v>
      </c>
      <c r="G439" s="1" t="s">
        <v>70</v>
      </c>
      <c r="H439" s="1" t="s">
        <v>839</v>
      </c>
      <c r="I439" s="1" t="s">
        <v>71</v>
      </c>
      <c r="J439" s="1" t="s">
        <v>839</v>
      </c>
      <c r="K439" s="1" t="s">
        <v>35</v>
      </c>
      <c r="L439" s="1" t="s">
        <v>839</v>
      </c>
      <c r="M439" s="1" t="s">
        <v>49</v>
      </c>
      <c r="N439" s="5">
        <v>6.6719999999999988</v>
      </c>
      <c r="O439" s="27">
        <v>6</v>
      </c>
      <c r="P439" s="5">
        <v>0.50039999999999996</v>
      </c>
      <c r="Q439" s="5">
        <v>1.1120000000000001</v>
      </c>
    </row>
    <row r="440" spans="1:17">
      <c r="A440" s="1">
        <v>430</v>
      </c>
      <c r="B440" s="1" t="s">
        <v>840</v>
      </c>
      <c r="C440" s="1">
        <v>123750</v>
      </c>
      <c r="D440" s="7">
        <v>42481</v>
      </c>
      <c r="E440" s="1" t="s">
        <v>841</v>
      </c>
      <c r="F440" s="1" t="s">
        <v>842</v>
      </c>
      <c r="G440" s="1" t="s">
        <v>61</v>
      </c>
      <c r="H440" s="1" t="s">
        <v>842</v>
      </c>
      <c r="I440" s="1" t="s">
        <v>24</v>
      </c>
      <c r="J440" s="1" t="s">
        <v>842</v>
      </c>
      <c r="K440" s="1" t="s">
        <v>35</v>
      </c>
      <c r="L440" s="1" t="s">
        <v>842</v>
      </c>
      <c r="M440" s="1" t="s">
        <v>54</v>
      </c>
      <c r="N440" s="5">
        <v>189.58800000000005</v>
      </c>
      <c r="O440" s="27">
        <v>2</v>
      </c>
      <c r="P440" s="5">
        <v>-145.35079999999999</v>
      </c>
      <c r="Q440" s="5">
        <v>94.793999999999997</v>
      </c>
    </row>
    <row r="441" spans="1:17">
      <c r="A441" s="1">
        <v>431</v>
      </c>
      <c r="B441" s="1" t="s">
        <v>840</v>
      </c>
      <c r="C441" s="1">
        <v>123750</v>
      </c>
      <c r="D441" s="7">
        <v>42481</v>
      </c>
      <c r="E441" s="1" t="s">
        <v>841</v>
      </c>
      <c r="F441" s="1" t="s">
        <v>416</v>
      </c>
      <c r="G441" s="1" t="s">
        <v>61</v>
      </c>
      <c r="H441" s="1" t="s">
        <v>416</v>
      </c>
      <c r="I441" s="1" t="s">
        <v>24</v>
      </c>
      <c r="J441" s="1" t="s">
        <v>416</v>
      </c>
      <c r="K441" s="1" t="s">
        <v>51</v>
      </c>
      <c r="L441" s="1" t="s">
        <v>416</v>
      </c>
      <c r="M441" s="1" t="s">
        <v>103</v>
      </c>
      <c r="N441" s="5">
        <v>408.74399999999997</v>
      </c>
      <c r="O441" s="27">
        <v>7</v>
      </c>
      <c r="P441" s="5">
        <v>76.639499999999984</v>
      </c>
      <c r="Q441" s="5">
        <v>58.392000000000003</v>
      </c>
    </row>
    <row r="442" spans="1:17">
      <c r="A442" s="1">
        <v>432</v>
      </c>
      <c r="B442" s="1" t="s">
        <v>840</v>
      </c>
      <c r="C442" s="1">
        <v>123750</v>
      </c>
      <c r="D442" s="7">
        <v>42481</v>
      </c>
      <c r="E442" s="1" t="s">
        <v>841</v>
      </c>
      <c r="F442" s="1" t="s">
        <v>416</v>
      </c>
      <c r="G442" s="1" t="s">
        <v>61</v>
      </c>
      <c r="H442" s="1" t="s">
        <v>416</v>
      </c>
      <c r="I442" s="1" t="s">
        <v>24</v>
      </c>
      <c r="J442" s="1" t="s">
        <v>416</v>
      </c>
      <c r="K442" s="1" t="s">
        <v>51</v>
      </c>
      <c r="L442" s="1" t="s">
        <v>416</v>
      </c>
      <c r="M442" s="1" t="s">
        <v>103</v>
      </c>
      <c r="N442" s="5">
        <v>291.95999999999998</v>
      </c>
      <c r="O442" s="27">
        <v>5</v>
      </c>
      <c r="P442" s="5">
        <v>54.742499999999978</v>
      </c>
      <c r="Q442" s="5">
        <v>58.392000000000003</v>
      </c>
    </row>
    <row r="443" spans="1:17">
      <c r="A443" s="1">
        <v>433</v>
      </c>
      <c r="B443" s="1" t="s">
        <v>840</v>
      </c>
      <c r="C443" s="1">
        <v>123750</v>
      </c>
      <c r="D443" s="7">
        <v>42481</v>
      </c>
      <c r="E443" s="1" t="s">
        <v>841</v>
      </c>
      <c r="F443" s="1" t="s">
        <v>843</v>
      </c>
      <c r="G443" s="1" t="s">
        <v>61</v>
      </c>
      <c r="H443" s="1" t="s">
        <v>843</v>
      </c>
      <c r="I443" s="1" t="s">
        <v>24</v>
      </c>
      <c r="J443" s="1" t="s">
        <v>843</v>
      </c>
      <c r="K443" s="1" t="s">
        <v>35</v>
      </c>
      <c r="L443" s="1" t="s">
        <v>843</v>
      </c>
      <c r="M443" s="1" t="s">
        <v>43</v>
      </c>
      <c r="N443" s="5">
        <v>4.7679999999999998</v>
      </c>
      <c r="O443" s="27">
        <v>2</v>
      </c>
      <c r="P443" s="5">
        <v>-0.7748000000000006</v>
      </c>
      <c r="Q443" s="5">
        <v>2.3839999999999999</v>
      </c>
    </row>
    <row r="444" spans="1:17">
      <c r="A444" s="1">
        <v>434</v>
      </c>
      <c r="B444" s="1" t="s">
        <v>844</v>
      </c>
      <c r="C444" s="1">
        <v>127369</v>
      </c>
      <c r="D444" s="7">
        <v>42528</v>
      </c>
      <c r="E444" s="1" t="s">
        <v>366</v>
      </c>
      <c r="F444" s="1" t="s">
        <v>845</v>
      </c>
      <c r="G444" s="1" t="s">
        <v>695</v>
      </c>
      <c r="H444" s="1" t="s">
        <v>845</v>
      </c>
      <c r="I444" s="1" t="s">
        <v>95</v>
      </c>
      <c r="J444" s="1" t="s">
        <v>845</v>
      </c>
      <c r="K444" s="1" t="s">
        <v>35</v>
      </c>
      <c r="L444" s="1" t="s">
        <v>845</v>
      </c>
      <c r="M444" s="1" t="s">
        <v>43</v>
      </c>
      <c r="N444" s="5">
        <v>714.30000000000007</v>
      </c>
      <c r="O444" s="27">
        <v>5</v>
      </c>
      <c r="P444" s="5">
        <v>207.14699999999993</v>
      </c>
      <c r="Q444" s="5">
        <v>142.86000000000001</v>
      </c>
    </row>
    <row r="445" spans="1:17">
      <c r="A445" s="1">
        <v>435</v>
      </c>
      <c r="B445" s="1" t="s">
        <v>846</v>
      </c>
      <c r="C445" s="1">
        <v>150574</v>
      </c>
      <c r="D445" s="7">
        <v>41998</v>
      </c>
      <c r="E445" s="1" t="s">
        <v>847</v>
      </c>
      <c r="F445" s="1" t="s">
        <v>848</v>
      </c>
      <c r="G445" s="1" t="s">
        <v>39</v>
      </c>
      <c r="H445" s="1" t="s">
        <v>848</v>
      </c>
      <c r="I445" s="1" t="s">
        <v>24</v>
      </c>
      <c r="J445" s="1" t="s">
        <v>848</v>
      </c>
      <c r="K445" s="1" t="s">
        <v>35</v>
      </c>
      <c r="L445" s="1" t="s">
        <v>848</v>
      </c>
      <c r="M445" s="1" t="s">
        <v>54</v>
      </c>
      <c r="N445" s="5">
        <v>4.8120000000000003</v>
      </c>
      <c r="O445" s="27">
        <v>2</v>
      </c>
      <c r="P445" s="5">
        <v>-3.6891999999999996</v>
      </c>
      <c r="Q445" s="5">
        <v>2.4060000000000001</v>
      </c>
    </row>
    <row r="446" spans="1:17">
      <c r="A446" s="1">
        <v>436</v>
      </c>
      <c r="B446" s="1" t="s">
        <v>846</v>
      </c>
      <c r="C446" s="1">
        <v>150574</v>
      </c>
      <c r="D446" s="7">
        <v>41998</v>
      </c>
      <c r="E446" s="1" t="s">
        <v>847</v>
      </c>
      <c r="F446" s="1" t="s">
        <v>849</v>
      </c>
      <c r="G446" s="1" t="s">
        <v>39</v>
      </c>
      <c r="H446" s="1" t="s">
        <v>849</v>
      </c>
      <c r="I446" s="1" t="s">
        <v>24</v>
      </c>
      <c r="J446" s="1" t="s">
        <v>849</v>
      </c>
      <c r="K446" s="1" t="s">
        <v>51</v>
      </c>
      <c r="L446" s="1" t="s">
        <v>849</v>
      </c>
      <c r="M446" s="1" t="s">
        <v>103</v>
      </c>
      <c r="N446" s="5">
        <v>247.8</v>
      </c>
      <c r="O446" s="27">
        <v>5</v>
      </c>
      <c r="P446" s="5">
        <v>-18.584999999999994</v>
      </c>
      <c r="Q446" s="5">
        <v>49.56</v>
      </c>
    </row>
    <row r="447" spans="1:17">
      <c r="A447" s="1">
        <v>437</v>
      </c>
      <c r="B447" s="1" t="s">
        <v>850</v>
      </c>
      <c r="C447" s="1">
        <v>147375</v>
      </c>
      <c r="D447" s="7">
        <v>42535</v>
      </c>
      <c r="E447" s="1" t="s">
        <v>851</v>
      </c>
      <c r="F447" s="1" t="s">
        <v>852</v>
      </c>
      <c r="G447" s="1" t="s">
        <v>129</v>
      </c>
      <c r="H447" s="1" t="s">
        <v>852</v>
      </c>
      <c r="I447" s="1" t="s">
        <v>71</v>
      </c>
      <c r="J447" s="1" t="s">
        <v>852</v>
      </c>
      <c r="K447" s="1" t="s">
        <v>51</v>
      </c>
      <c r="L447" s="1" t="s">
        <v>852</v>
      </c>
      <c r="M447" s="1" t="s">
        <v>389</v>
      </c>
      <c r="N447" s="5">
        <v>1007.979</v>
      </c>
      <c r="O447" s="27">
        <v>3</v>
      </c>
      <c r="P447" s="5">
        <v>43.199100000000044</v>
      </c>
      <c r="Q447" s="5">
        <v>335.99299999999999</v>
      </c>
    </row>
    <row r="448" spans="1:17">
      <c r="A448" s="1">
        <v>438</v>
      </c>
      <c r="B448" s="1" t="s">
        <v>850</v>
      </c>
      <c r="C448" s="1">
        <v>147375</v>
      </c>
      <c r="D448" s="7">
        <v>42535</v>
      </c>
      <c r="E448" s="1" t="s">
        <v>851</v>
      </c>
      <c r="F448" s="1" t="s">
        <v>699</v>
      </c>
      <c r="G448" s="1" t="s">
        <v>129</v>
      </c>
      <c r="H448" s="1" t="s">
        <v>699</v>
      </c>
      <c r="I448" s="1" t="s">
        <v>71</v>
      </c>
      <c r="J448" s="1" t="s">
        <v>699</v>
      </c>
      <c r="K448" s="1" t="s">
        <v>35</v>
      </c>
      <c r="L448" s="1" t="s">
        <v>699</v>
      </c>
      <c r="M448" s="1" t="s">
        <v>63</v>
      </c>
      <c r="N448" s="5">
        <v>313.488</v>
      </c>
      <c r="O448" s="27">
        <v>7</v>
      </c>
      <c r="P448" s="5">
        <v>113.63939999999998</v>
      </c>
      <c r="Q448" s="5">
        <v>44.783999999999999</v>
      </c>
    </row>
    <row r="449" spans="1:17">
      <c r="A449" s="1">
        <v>439</v>
      </c>
      <c r="B449" s="1" t="s">
        <v>853</v>
      </c>
      <c r="C449" s="1">
        <v>130043</v>
      </c>
      <c r="D449" s="7">
        <v>42997</v>
      </c>
      <c r="E449" s="1" t="s">
        <v>854</v>
      </c>
      <c r="F449" s="1" t="s">
        <v>855</v>
      </c>
      <c r="G449" s="1" t="s">
        <v>70</v>
      </c>
      <c r="H449" s="1" t="s">
        <v>855</v>
      </c>
      <c r="I449" s="1" t="s">
        <v>71</v>
      </c>
      <c r="J449" s="1" t="s">
        <v>855</v>
      </c>
      <c r="K449" s="1" t="s">
        <v>35</v>
      </c>
      <c r="L449" s="1" t="s">
        <v>855</v>
      </c>
      <c r="M449" s="1" t="s">
        <v>63</v>
      </c>
      <c r="N449" s="5">
        <v>31.872000000000003</v>
      </c>
      <c r="O449" s="27">
        <v>8</v>
      </c>
      <c r="P449" s="5">
        <v>11.553600000000003</v>
      </c>
      <c r="Q449" s="5">
        <v>3.984</v>
      </c>
    </row>
    <row r="450" spans="1:17">
      <c r="A450" s="1">
        <v>440</v>
      </c>
      <c r="B450" s="1" t="s">
        <v>856</v>
      </c>
      <c r="C450" s="1">
        <v>157252</v>
      </c>
      <c r="D450" s="7">
        <v>42758</v>
      </c>
      <c r="E450" s="1" t="s">
        <v>279</v>
      </c>
      <c r="F450" s="1" t="s">
        <v>857</v>
      </c>
      <c r="G450" s="1" t="s">
        <v>161</v>
      </c>
      <c r="H450" s="1" t="s">
        <v>857</v>
      </c>
      <c r="I450" s="1" t="s">
        <v>95</v>
      </c>
      <c r="J450" s="1" t="s">
        <v>857</v>
      </c>
      <c r="K450" s="1" t="s">
        <v>26</v>
      </c>
      <c r="L450" s="1" t="s">
        <v>857</v>
      </c>
      <c r="M450" s="1" t="s">
        <v>29</v>
      </c>
      <c r="N450" s="5">
        <v>207.84600000000003</v>
      </c>
      <c r="O450" s="27">
        <v>3</v>
      </c>
      <c r="P450" s="5">
        <v>2.3093999999999895</v>
      </c>
      <c r="Q450" s="5">
        <v>69.281999999999996</v>
      </c>
    </row>
    <row r="451" spans="1:17">
      <c r="A451" s="1">
        <v>441</v>
      </c>
      <c r="B451" s="1" t="s">
        <v>858</v>
      </c>
      <c r="C451" s="1">
        <v>115756</v>
      </c>
      <c r="D451" s="7">
        <v>42620</v>
      </c>
      <c r="E451" s="1" t="s">
        <v>75</v>
      </c>
      <c r="F451" s="1" t="s">
        <v>859</v>
      </c>
      <c r="G451" s="1" t="s">
        <v>144</v>
      </c>
      <c r="H451" s="1" t="s">
        <v>859</v>
      </c>
      <c r="I451" s="1" t="s">
        <v>71</v>
      </c>
      <c r="J451" s="1" t="s">
        <v>859</v>
      </c>
      <c r="K451" s="1" t="s">
        <v>26</v>
      </c>
      <c r="L451" s="1" t="s">
        <v>859</v>
      </c>
      <c r="M451" s="1" t="s">
        <v>47</v>
      </c>
      <c r="N451" s="5">
        <v>12.22</v>
      </c>
      <c r="O451" s="27">
        <v>1</v>
      </c>
      <c r="P451" s="5">
        <v>3.6659999999999986</v>
      </c>
      <c r="Q451" s="5">
        <v>12.22</v>
      </c>
    </row>
    <row r="452" spans="1:17">
      <c r="A452" s="1">
        <v>442</v>
      </c>
      <c r="B452" s="1" t="s">
        <v>858</v>
      </c>
      <c r="C452" s="1">
        <v>115756</v>
      </c>
      <c r="D452" s="7">
        <v>42620</v>
      </c>
      <c r="E452" s="1" t="s">
        <v>75</v>
      </c>
      <c r="F452" s="1" t="s">
        <v>860</v>
      </c>
      <c r="G452" s="1" t="s">
        <v>144</v>
      </c>
      <c r="H452" s="1" t="s">
        <v>860</v>
      </c>
      <c r="I452" s="1" t="s">
        <v>71</v>
      </c>
      <c r="J452" s="1" t="s">
        <v>860</v>
      </c>
      <c r="K452" s="1" t="s">
        <v>35</v>
      </c>
      <c r="L452" s="1" t="s">
        <v>860</v>
      </c>
      <c r="M452" s="1" t="s">
        <v>43</v>
      </c>
      <c r="N452" s="5">
        <v>194.94</v>
      </c>
      <c r="O452" s="27">
        <v>3</v>
      </c>
      <c r="P452" s="5">
        <v>23.392800000000008</v>
      </c>
      <c r="Q452" s="5">
        <v>64.98</v>
      </c>
    </row>
    <row r="453" spans="1:17">
      <c r="A453" s="1">
        <v>443</v>
      </c>
      <c r="B453" s="1" t="s">
        <v>858</v>
      </c>
      <c r="C453" s="1">
        <v>115756</v>
      </c>
      <c r="D453" s="7">
        <v>42620</v>
      </c>
      <c r="E453" s="1" t="s">
        <v>75</v>
      </c>
      <c r="F453" s="1" t="s">
        <v>861</v>
      </c>
      <c r="G453" s="1" t="s">
        <v>144</v>
      </c>
      <c r="H453" s="1" t="s">
        <v>861</v>
      </c>
      <c r="I453" s="1" t="s">
        <v>71</v>
      </c>
      <c r="J453" s="1" t="s">
        <v>861</v>
      </c>
      <c r="K453" s="1" t="s">
        <v>35</v>
      </c>
      <c r="L453" s="1" t="s">
        <v>861</v>
      </c>
      <c r="M453" s="1" t="s">
        <v>43</v>
      </c>
      <c r="N453" s="5">
        <v>70.949999999999989</v>
      </c>
      <c r="O453" s="27">
        <v>3</v>
      </c>
      <c r="P453" s="5">
        <v>20.575499999999998</v>
      </c>
      <c r="Q453" s="5">
        <v>23.65</v>
      </c>
    </row>
    <row r="454" spans="1:17">
      <c r="A454" s="1">
        <v>444</v>
      </c>
      <c r="B454" s="1" t="s">
        <v>858</v>
      </c>
      <c r="C454" s="1">
        <v>115756</v>
      </c>
      <c r="D454" s="7">
        <v>42620</v>
      </c>
      <c r="E454" s="1" t="s">
        <v>75</v>
      </c>
      <c r="F454" s="1" t="s">
        <v>862</v>
      </c>
      <c r="G454" s="1" t="s">
        <v>144</v>
      </c>
      <c r="H454" s="1" t="s">
        <v>862</v>
      </c>
      <c r="I454" s="1" t="s">
        <v>71</v>
      </c>
      <c r="J454" s="1" t="s">
        <v>862</v>
      </c>
      <c r="K454" s="1" t="s">
        <v>35</v>
      </c>
      <c r="L454" s="1" t="s">
        <v>862</v>
      </c>
      <c r="M454" s="1" t="s">
        <v>63</v>
      </c>
      <c r="N454" s="5">
        <v>91.36</v>
      </c>
      <c r="O454" s="27">
        <v>4</v>
      </c>
      <c r="P454" s="5">
        <v>42.025599999999997</v>
      </c>
      <c r="Q454" s="5">
        <v>22.84</v>
      </c>
    </row>
    <row r="455" spans="1:17">
      <c r="A455" s="1">
        <v>445</v>
      </c>
      <c r="B455" s="1" t="s">
        <v>858</v>
      </c>
      <c r="C455" s="1">
        <v>115756</v>
      </c>
      <c r="D455" s="7">
        <v>42620</v>
      </c>
      <c r="E455" s="1" t="s">
        <v>75</v>
      </c>
      <c r="F455" s="1" t="s">
        <v>863</v>
      </c>
      <c r="G455" s="1" t="s">
        <v>144</v>
      </c>
      <c r="H455" s="1" t="s">
        <v>863</v>
      </c>
      <c r="I455" s="1" t="s">
        <v>71</v>
      </c>
      <c r="J455" s="1" t="s">
        <v>863</v>
      </c>
      <c r="K455" s="1" t="s">
        <v>26</v>
      </c>
      <c r="L455" s="1" t="s">
        <v>863</v>
      </c>
      <c r="M455" s="1" t="s">
        <v>29</v>
      </c>
      <c r="N455" s="5">
        <v>242.94</v>
      </c>
      <c r="O455" s="27">
        <v>3</v>
      </c>
      <c r="P455" s="5">
        <v>29.152800000000013</v>
      </c>
      <c r="Q455" s="5">
        <v>80.98</v>
      </c>
    </row>
    <row r="456" spans="1:17">
      <c r="A456" s="1">
        <v>446</v>
      </c>
      <c r="B456" s="1" t="s">
        <v>858</v>
      </c>
      <c r="C456" s="1">
        <v>115756</v>
      </c>
      <c r="D456" s="7">
        <v>42620</v>
      </c>
      <c r="E456" s="1" t="s">
        <v>75</v>
      </c>
      <c r="F456" s="1" t="s">
        <v>864</v>
      </c>
      <c r="G456" s="1" t="s">
        <v>144</v>
      </c>
      <c r="H456" s="1" t="s">
        <v>864</v>
      </c>
      <c r="I456" s="1" t="s">
        <v>71</v>
      </c>
      <c r="J456" s="1" t="s">
        <v>864</v>
      </c>
      <c r="K456" s="1" t="s">
        <v>35</v>
      </c>
      <c r="L456" s="1" t="s">
        <v>864</v>
      </c>
      <c r="M456" s="1" t="s">
        <v>36</v>
      </c>
      <c r="N456" s="5">
        <v>22.05</v>
      </c>
      <c r="O456" s="27">
        <v>7</v>
      </c>
      <c r="P456" s="5">
        <v>10.584</v>
      </c>
      <c r="Q456" s="5">
        <v>3.15</v>
      </c>
    </row>
    <row r="457" spans="1:17">
      <c r="A457" s="1">
        <v>447</v>
      </c>
      <c r="B457" s="1" t="s">
        <v>865</v>
      </c>
      <c r="C457" s="1">
        <v>154214</v>
      </c>
      <c r="D457" s="7">
        <v>42819</v>
      </c>
      <c r="E457" s="1" t="s">
        <v>866</v>
      </c>
      <c r="F457" s="1" t="s">
        <v>867</v>
      </c>
      <c r="G457" s="1" t="s">
        <v>154</v>
      </c>
      <c r="H457" s="1" t="s">
        <v>867</v>
      </c>
      <c r="I457" s="1" t="s">
        <v>71</v>
      </c>
      <c r="J457" s="1" t="s">
        <v>867</v>
      </c>
      <c r="K457" s="1" t="s">
        <v>26</v>
      </c>
      <c r="L457" s="1" t="s">
        <v>867</v>
      </c>
      <c r="M457" s="1" t="s">
        <v>47</v>
      </c>
      <c r="N457" s="5">
        <v>2.91</v>
      </c>
      <c r="O457" s="27">
        <v>1</v>
      </c>
      <c r="P457" s="5">
        <v>1.3676999999999999</v>
      </c>
      <c r="Q457" s="5">
        <v>2.91</v>
      </c>
    </row>
    <row r="458" spans="1:17">
      <c r="A458" s="1">
        <v>448</v>
      </c>
      <c r="B458" s="1" t="s">
        <v>868</v>
      </c>
      <c r="C458" s="1">
        <v>166674</v>
      </c>
      <c r="D458" s="7">
        <v>42463</v>
      </c>
      <c r="E458" s="1" t="s">
        <v>869</v>
      </c>
      <c r="F458" s="1" t="s">
        <v>870</v>
      </c>
      <c r="G458" s="1" t="s">
        <v>161</v>
      </c>
      <c r="H458" s="1" t="s">
        <v>870</v>
      </c>
      <c r="I458" s="1" t="s">
        <v>95</v>
      </c>
      <c r="J458" s="1" t="s">
        <v>870</v>
      </c>
      <c r="K458" s="1" t="s">
        <v>35</v>
      </c>
      <c r="L458" s="1" t="s">
        <v>870</v>
      </c>
      <c r="M458" s="1" t="s">
        <v>49</v>
      </c>
      <c r="N458" s="5">
        <v>59.519999999999996</v>
      </c>
      <c r="O458" s="27">
        <v>3</v>
      </c>
      <c r="P458" s="5">
        <v>15.475200000000001</v>
      </c>
      <c r="Q458" s="5">
        <v>19.84</v>
      </c>
    </row>
    <row r="459" spans="1:17">
      <c r="A459" s="1">
        <v>449</v>
      </c>
      <c r="B459" s="1" t="s">
        <v>868</v>
      </c>
      <c r="C459" s="1">
        <v>166674</v>
      </c>
      <c r="D459" s="7">
        <v>42463</v>
      </c>
      <c r="E459" s="1" t="s">
        <v>869</v>
      </c>
      <c r="F459" s="1" t="s">
        <v>871</v>
      </c>
      <c r="G459" s="1" t="s">
        <v>161</v>
      </c>
      <c r="H459" s="1" t="s">
        <v>871</v>
      </c>
      <c r="I459" s="1" t="s">
        <v>95</v>
      </c>
      <c r="J459" s="1" t="s">
        <v>871</v>
      </c>
      <c r="K459" s="1" t="s">
        <v>35</v>
      </c>
      <c r="L459" s="1" t="s">
        <v>871</v>
      </c>
      <c r="M459" s="1" t="s">
        <v>43</v>
      </c>
      <c r="N459" s="5">
        <v>161.94</v>
      </c>
      <c r="O459" s="27">
        <v>3</v>
      </c>
      <c r="P459" s="5">
        <v>9.716399999999993</v>
      </c>
      <c r="Q459" s="5">
        <v>53.98</v>
      </c>
    </row>
    <row r="460" spans="1:17">
      <c r="A460" s="1">
        <v>450</v>
      </c>
      <c r="B460" s="1" t="s">
        <v>868</v>
      </c>
      <c r="C460" s="1">
        <v>166674</v>
      </c>
      <c r="D460" s="7">
        <v>42463</v>
      </c>
      <c r="E460" s="1" t="s">
        <v>869</v>
      </c>
      <c r="F460" s="1" t="s">
        <v>872</v>
      </c>
      <c r="G460" s="1" t="s">
        <v>161</v>
      </c>
      <c r="H460" s="1" t="s">
        <v>872</v>
      </c>
      <c r="I460" s="1" t="s">
        <v>95</v>
      </c>
      <c r="J460" s="1" t="s">
        <v>872</v>
      </c>
      <c r="K460" s="1" t="s">
        <v>35</v>
      </c>
      <c r="L460" s="1" t="s">
        <v>872</v>
      </c>
      <c r="M460" s="1" t="s">
        <v>49</v>
      </c>
      <c r="N460" s="5">
        <v>263.88</v>
      </c>
      <c r="O460" s="27">
        <v>6</v>
      </c>
      <c r="P460" s="5">
        <v>71.247600000000006</v>
      </c>
      <c r="Q460" s="5">
        <v>43.98</v>
      </c>
    </row>
    <row r="461" spans="1:17">
      <c r="A461" s="1">
        <v>451</v>
      </c>
      <c r="B461" s="1" t="s">
        <v>868</v>
      </c>
      <c r="C461" s="1">
        <v>166674</v>
      </c>
      <c r="D461" s="7">
        <v>42463</v>
      </c>
      <c r="E461" s="1" t="s">
        <v>869</v>
      </c>
      <c r="F461" s="1" t="s">
        <v>873</v>
      </c>
      <c r="G461" s="1" t="s">
        <v>161</v>
      </c>
      <c r="H461" s="1" t="s">
        <v>873</v>
      </c>
      <c r="I461" s="1" t="s">
        <v>95</v>
      </c>
      <c r="J461" s="1" t="s">
        <v>873</v>
      </c>
      <c r="K461" s="1" t="s">
        <v>35</v>
      </c>
      <c r="L461" s="1" t="s">
        <v>873</v>
      </c>
      <c r="M461" s="1" t="s">
        <v>49</v>
      </c>
      <c r="N461" s="5">
        <v>30.48</v>
      </c>
      <c r="O461" s="27">
        <v>3</v>
      </c>
      <c r="P461" s="5">
        <v>7.9248000000000012</v>
      </c>
      <c r="Q461" s="5">
        <v>10.16</v>
      </c>
    </row>
    <row r="462" spans="1:17">
      <c r="A462" s="1">
        <v>452</v>
      </c>
      <c r="B462" s="1" t="s">
        <v>868</v>
      </c>
      <c r="C462" s="1">
        <v>166674</v>
      </c>
      <c r="D462" s="7">
        <v>42463</v>
      </c>
      <c r="E462" s="1" t="s">
        <v>869</v>
      </c>
      <c r="F462" s="1" t="s">
        <v>874</v>
      </c>
      <c r="G462" s="1" t="s">
        <v>161</v>
      </c>
      <c r="H462" s="1" t="s">
        <v>874</v>
      </c>
      <c r="I462" s="1" t="s">
        <v>95</v>
      </c>
      <c r="J462" s="1" t="s">
        <v>874</v>
      </c>
      <c r="K462" s="1" t="s">
        <v>35</v>
      </c>
      <c r="L462" s="1" t="s">
        <v>874</v>
      </c>
      <c r="M462" s="1" t="s">
        <v>49</v>
      </c>
      <c r="N462" s="5">
        <v>9.84</v>
      </c>
      <c r="O462" s="27">
        <v>3</v>
      </c>
      <c r="P462" s="5">
        <v>2.8535999999999988</v>
      </c>
      <c r="Q462" s="5">
        <v>3.28</v>
      </c>
    </row>
    <row r="463" spans="1:17">
      <c r="A463" s="1">
        <v>453</v>
      </c>
      <c r="B463" s="1" t="s">
        <v>868</v>
      </c>
      <c r="C463" s="1">
        <v>166674</v>
      </c>
      <c r="D463" s="7">
        <v>42463</v>
      </c>
      <c r="E463" s="1" t="s">
        <v>869</v>
      </c>
      <c r="F463" s="1" t="s">
        <v>875</v>
      </c>
      <c r="G463" s="1" t="s">
        <v>161</v>
      </c>
      <c r="H463" s="1" t="s">
        <v>875</v>
      </c>
      <c r="I463" s="1" t="s">
        <v>95</v>
      </c>
      <c r="J463" s="1" t="s">
        <v>875</v>
      </c>
      <c r="K463" s="1" t="s">
        <v>51</v>
      </c>
      <c r="L463" s="1" t="s">
        <v>875</v>
      </c>
      <c r="M463" s="1" t="s">
        <v>52</v>
      </c>
      <c r="N463" s="5">
        <v>35.119999999999997</v>
      </c>
      <c r="O463" s="27">
        <v>4</v>
      </c>
      <c r="P463" s="5">
        <v>9.1311999999999998</v>
      </c>
      <c r="Q463" s="5">
        <v>8.7799999999999994</v>
      </c>
    </row>
    <row r="464" spans="1:17">
      <c r="A464" s="1">
        <v>454</v>
      </c>
      <c r="B464" s="1" t="s">
        <v>876</v>
      </c>
      <c r="C464" s="1">
        <v>147277</v>
      </c>
      <c r="D464" s="7">
        <v>43032</v>
      </c>
      <c r="E464" s="1" t="s">
        <v>877</v>
      </c>
      <c r="F464" s="1" t="s">
        <v>57</v>
      </c>
      <c r="G464" s="1" t="s">
        <v>288</v>
      </c>
      <c r="H464" s="1" t="s">
        <v>57</v>
      </c>
      <c r="I464" s="1" t="s">
        <v>95</v>
      </c>
      <c r="J464" s="1" t="s">
        <v>57</v>
      </c>
      <c r="K464" s="1" t="s">
        <v>26</v>
      </c>
      <c r="L464" s="1" t="s">
        <v>57</v>
      </c>
      <c r="M464" s="1" t="s">
        <v>41</v>
      </c>
      <c r="N464" s="5">
        <v>284.36399999999998</v>
      </c>
      <c r="O464" s="27">
        <v>2</v>
      </c>
      <c r="P464" s="5">
        <v>-75.830400000000054</v>
      </c>
      <c r="Q464" s="5">
        <v>142.18199999999999</v>
      </c>
    </row>
    <row r="465" spans="1:17">
      <c r="A465" s="1">
        <v>455</v>
      </c>
      <c r="B465" s="1" t="s">
        <v>876</v>
      </c>
      <c r="C465" s="1">
        <v>147277</v>
      </c>
      <c r="D465" s="7">
        <v>43032</v>
      </c>
      <c r="E465" s="1" t="s">
        <v>877</v>
      </c>
      <c r="F465" s="1" t="s">
        <v>878</v>
      </c>
      <c r="G465" s="1" t="s">
        <v>288</v>
      </c>
      <c r="H465" s="1" t="s">
        <v>878</v>
      </c>
      <c r="I465" s="1" t="s">
        <v>95</v>
      </c>
      <c r="J465" s="1" t="s">
        <v>878</v>
      </c>
      <c r="K465" s="1" t="s">
        <v>35</v>
      </c>
      <c r="L465" s="1" t="s">
        <v>878</v>
      </c>
      <c r="M465" s="1" t="s">
        <v>43</v>
      </c>
      <c r="N465" s="5">
        <v>665.40800000000002</v>
      </c>
      <c r="O465" s="27">
        <v>2</v>
      </c>
      <c r="P465" s="5">
        <v>66.540799999999962</v>
      </c>
      <c r="Q465" s="5">
        <v>332.70400000000001</v>
      </c>
    </row>
    <row r="466" spans="1:17">
      <c r="A466" s="1">
        <v>456</v>
      </c>
      <c r="B466" s="1" t="s">
        <v>879</v>
      </c>
      <c r="C466" s="1">
        <v>100153</v>
      </c>
      <c r="D466" s="7">
        <v>42721</v>
      </c>
      <c r="E466" s="1" t="s">
        <v>838</v>
      </c>
      <c r="F466" s="1" t="s">
        <v>880</v>
      </c>
      <c r="G466" s="1" t="s">
        <v>369</v>
      </c>
      <c r="H466" s="1" t="s">
        <v>880</v>
      </c>
      <c r="I466" s="1" t="s">
        <v>71</v>
      </c>
      <c r="J466" s="1" t="s">
        <v>880</v>
      </c>
      <c r="K466" s="1" t="s">
        <v>51</v>
      </c>
      <c r="L466" s="1" t="s">
        <v>880</v>
      </c>
      <c r="M466" s="1" t="s">
        <v>103</v>
      </c>
      <c r="N466" s="5">
        <v>63.88</v>
      </c>
      <c r="O466" s="27">
        <v>4</v>
      </c>
      <c r="P466" s="5">
        <v>24.913200000000003</v>
      </c>
      <c r="Q466" s="5">
        <v>15.97</v>
      </c>
    </row>
    <row r="467" spans="1:17">
      <c r="A467" s="1">
        <v>457</v>
      </c>
      <c r="B467" s="1" t="s">
        <v>881</v>
      </c>
      <c r="C467" s="1">
        <v>110674</v>
      </c>
      <c r="D467" s="7">
        <v>41688</v>
      </c>
      <c r="E467" s="1" t="s">
        <v>882</v>
      </c>
      <c r="F467" s="1" t="s">
        <v>883</v>
      </c>
      <c r="G467" s="1" t="s">
        <v>32</v>
      </c>
      <c r="H467" s="1" t="s">
        <v>883</v>
      </c>
      <c r="I467" s="1" t="s">
        <v>33</v>
      </c>
      <c r="J467" s="1" t="s">
        <v>883</v>
      </c>
      <c r="K467" s="1" t="s">
        <v>26</v>
      </c>
      <c r="L467" s="1" t="s">
        <v>883</v>
      </c>
      <c r="M467" s="1" t="s">
        <v>29</v>
      </c>
      <c r="N467" s="5">
        <v>129.56800000000001</v>
      </c>
      <c r="O467" s="27">
        <v>2</v>
      </c>
      <c r="P467" s="5">
        <v>-24.294000000000018</v>
      </c>
      <c r="Q467" s="5">
        <v>64.784000000000006</v>
      </c>
    </row>
    <row r="468" spans="1:17">
      <c r="A468" s="1">
        <v>458</v>
      </c>
      <c r="B468" s="1" t="s">
        <v>884</v>
      </c>
      <c r="C468" s="1">
        <v>157945</v>
      </c>
      <c r="D468" s="7">
        <v>42644</v>
      </c>
      <c r="E468" s="1" t="s">
        <v>828</v>
      </c>
      <c r="F468" s="1" t="s">
        <v>885</v>
      </c>
      <c r="G468" s="1" t="s">
        <v>129</v>
      </c>
      <c r="H468" s="1" t="s">
        <v>885</v>
      </c>
      <c r="I468" s="1" t="s">
        <v>71</v>
      </c>
      <c r="J468" s="1" t="s">
        <v>885</v>
      </c>
      <c r="K468" s="1" t="s">
        <v>26</v>
      </c>
      <c r="L468" s="1" t="s">
        <v>885</v>
      </c>
      <c r="M468" s="1" t="s">
        <v>29</v>
      </c>
      <c r="N468" s="5">
        <v>747.55799999999999</v>
      </c>
      <c r="O468" s="27">
        <v>3</v>
      </c>
      <c r="P468" s="5">
        <v>-96.11460000000011</v>
      </c>
      <c r="Q468" s="5">
        <v>249.18600000000001</v>
      </c>
    </row>
    <row r="469" spans="1:17">
      <c r="A469" s="1">
        <v>459</v>
      </c>
      <c r="B469" s="1" t="s">
        <v>884</v>
      </c>
      <c r="C469" s="1">
        <v>157945</v>
      </c>
      <c r="D469" s="7">
        <v>42644</v>
      </c>
      <c r="E469" s="1" t="s">
        <v>828</v>
      </c>
      <c r="F469" s="1" t="s">
        <v>886</v>
      </c>
      <c r="G469" s="1" t="s">
        <v>129</v>
      </c>
      <c r="H469" s="1" t="s">
        <v>886</v>
      </c>
      <c r="I469" s="1" t="s">
        <v>71</v>
      </c>
      <c r="J469" s="1" t="s">
        <v>886</v>
      </c>
      <c r="K469" s="1" t="s">
        <v>35</v>
      </c>
      <c r="L469" s="1" t="s">
        <v>886</v>
      </c>
      <c r="M469" s="1" t="s">
        <v>110</v>
      </c>
      <c r="N469" s="5">
        <v>8.9280000000000008</v>
      </c>
      <c r="O469" s="27">
        <v>2</v>
      </c>
      <c r="P469" s="5">
        <v>3.3479999999999999</v>
      </c>
      <c r="Q469" s="5">
        <v>4.4640000000000004</v>
      </c>
    </row>
    <row r="470" spans="1:17">
      <c r="A470" s="1">
        <v>460</v>
      </c>
      <c r="B470" s="1" t="s">
        <v>887</v>
      </c>
      <c r="C470" s="1">
        <v>109638</v>
      </c>
      <c r="D470" s="7">
        <v>42360</v>
      </c>
      <c r="E470" s="1" t="s">
        <v>470</v>
      </c>
      <c r="F470" s="1" t="s">
        <v>888</v>
      </c>
      <c r="G470" s="1" t="s">
        <v>66</v>
      </c>
      <c r="H470" s="1" t="s">
        <v>888</v>
      </c>
      <c r="I470" s="1" t="s">
        <v>33</v>
      </c>
      <c r="J470" s="1" t="s">
        <v>888</v>
      </c>
      <c r="K470" s="1" t="s">
        <v>35</v>
      </c>
      <c r="L470" s="1" t="s">
        <v>888</v>
      </c>
      <c r="M470" s="1" t="s">
        <v>56</v>
      </c>
      <c r="N470" s="5">
        <v>103.92</v>
      </c>
      <c r="O470" s="27">
        <v>4</v>
      </c>
      <c r="P470" s="5">
        <v>36.372</v>
      </c>
      <c r="Q470" s="5">
        <v>25.98</v>
      </c>
    </row>
    <row r="471" spans="1:17">
      <c r="A471" s="1">
        <v>461</v>
      </c>
      <c r="B471" s="1" t="s">
        <v>887</v>
      </c>
      <c r="C471" s="1">
        <v>109638</v>
      </c>
      <c r="D471" s="7">
        <v>42360</v>
      </c>
      <c r="E471" s="1" t="s">
        <v>470</v>
      </c>
      <c r="F471" s="1" t="s">
        <v>889</v>
      </c>
      <c r="G471" s="1" t="s">
        <v>66</v>
      </c>
      <c r="H471" s="1" t="s">
        <v>889</v>
      </c>
      <c r="I471" s="1" t="s">
        <v>33</v>
      </c>
      <c r="J471" s="1" t="s">
        <v>889</v>
      </c>
      <c r="K471" s="1" t="s">
        <v>51</v>
      </c>
      <c r="L471" s="1" t="s">
        <v>889</v>
      </c>
      <c r="M471" s="1" t="s">
        <v>103</v>
      </c>
      <c r="N471" s="5">
        <v>899.91</v>
      </c>
      <c r="O471" s="27">
        <v>9</v>
      </c>
      <c r="P471" s="5">
        <v>377.96220000000005</v>
      </c>
      <c r="Q471" s="5">
        <v>99.99</v>
      </c>
    </row>
    <row r="472" spans="1:17">
      <c r="A472" s="1">
        <v>462</v>
      </c>
      <c r="B472" s="1" t="s">
        <v>887</v>
      </c>
      <c r="C472" s="1">
        <v>109638</v>
      </c>
      <c r="D472" s="7">
        <v>42360</v>
      </c>
      <c r="E472" s="1" t="s">
        <v>470</v>
      </c>
      <c r="F472" s="1" t="s">
        <v>890</v>
      </c>
      <c r="G472" s="1" t="s">
        <v>66</v>
      </c>
      <c r="H472" s="1" t="s">
        <v>890</v>
      </c>
      <c r="I472" s="1" t="s">
        <v>33</v>
      </c>
      <c r="J472" s="1" t="s">
        <v>890</v>
      </c>
      <c r="K472" s="1" t="s">
        <v>35</v>
      </c>
      <c r="L472" s="1" t="s">
        <v>890</v>
      </c>
      <c r="M472" s="1" t="s">
        <v>54</v>
      </c>
      <c r="N472" s="5">
        <v>51.311999999999998</v>
      </c>
      <c r="O472" s="27">
        <v>3</v>
      </c>
      <c r="P472" s="5">
        <v>18.600599999999996</v>
      </c>
      <c r="Q472" s="5">
        <v>17.103999999999999</v>
      </c>
    </row>
    <row r="473" spans="1:17">
      <c r="A473" s="1">
        <v>463</v>
      </c>
      <c r="B473" s="1" t="s">
        <v>891</v>
      </c>
      <c r="C473" s="1">
        <v>109869</v>
      </c>
      <c r="D473" s="7">
        <v>42489</v>
      </c>
      <c r="E473" s="1" t="s">
        <v>892</v>
      </c>
      <c r="F473" s="1" t="s">
        <v>718</v>
      </c>
      <c r="G473" s="1" t="s">
        <v>184</v>
      </c>
      <c r="H473" s="1" t="s">
        <v>718</v>
      </c>
      <c r="I473" s="1" t="s">
        <v>33</v>
      </c>
      <c r="J473" s="1" t="s">
        <v>718</v>
      </c>
      <c r="K473" s="1" t="s">
        <v>26</v>
      </c>
      <c r="L473" s="1" t="s">
        <v>718</v>
      </c>
      <c r="M473" s="1" t="s">
        <v>47</v>
      </c>
      <c r="N473" s="5">
        <v>23.56</v>
      </c>
      <c r="O473" s="27">
        <v>5</v>
      </c>
      <c r="P473" s="5">
        <v>7.0680000000000005</v>
      </c>
      <c r="Q473" s="5">
        <v>4.7119999999999997</v>
      </c>
    </row>
    <row r="474" spans="1:17">
      <c r="A474" s="1">
        <v>464</v>
      </c>
      <c r="B474" s="1" t="s">
        <v>891</v>
      </c>
      <c r="C474" s="1">
        <v>109869</v>
      </c>
      <c r="D474" s="7">
        <v>42489</v>
      </c>
      <c r="E474" s="1" t="s">
        <v>892</v>
      </c>
      <c r="F474" s="1" t="s">
        <v>893</v>
      </c>
      <c r="G474" s="1" t="s">
        <v>184</v>
      </c>
      <c r="H474" s="1" t="s">
        <v>893</v>
      </c>
      <c r="I474" s="1" t="s">
        <v>33</v>
      </c>
      <c r="J474" s="1" t="s">
        <v>893</v>
      </c>
      <c r="K474" s="1" t="s">
        <v>26</v>
      </c>
      <c r="L474" s="1" t="s">
        <v>893</v>
      </c>
      <c r="M474" s="1" t="s">
        <v>41</v>
      </c>
      <c r="N474" s="5">
        <v>1272.6299999999999</v>
      </c>
      <c r="O474" s="27">
        <v>6</v>
      </c>
      <c r="P474" s="5">
        <v>-814.4831999999999</v>
      </c>
      <c r="Q474" s="5">
        <v>212.10499999999999</v>
      </c>
    </row>
    <row r="475" spans="1:17">
      <c r="A475" s="1">
        <v>465</v>
      </c>
      <c r="B475" s="1" t="s">
        <v>891</v>
      </c>
      <c r="C475" s="1">
        <v>109869</v>
      </c>
      <c r="D475" s="7">
        <v>42489</v>
      </c>
      <c r="E475" s="1" t="s">
        <v>892</v>
      </c>
      <c r="F475" s="1" t="s">
        <v>894</v>
      </c>
      <c r="G475" s="1" t="s">
        <v>184</v>
      </c>
      <c r="H475" s="1" t="s">
        <v>894</v>
      </c>
      <c r="I475" s="1" t="s">
        <v>33</v>
      </c>
      <c r="J475" s="1" t="s">
        <v>894</v>
      </c>
      <c r="K475" s="1" t="s">
        <v>35</v>
      </c>
      <c r="L475" s="1" t="s">
        <v>894</v>
      </c>
      <c r="M475" s="1" t="s">
        <v>54</v>
      </c>
      <c r="N475" s="5">
        <v>28.484999999999999</v>
      </c>
      <c r="O475" s="27">
        <v>5</v>
      </c>
      <c r="P475" s="5">
        <v>-20.888999999999989</v>
      </c>
      <c r="Q475" s="5">
        <v>5.6970000000000001</v>
      </c>
    </row>
    <row r="476" spans="1:17">
      <c r="A476" s="1">
        <v>466</v>
      </c>
      <c r="B476" s="1" t="s">
        <v>891</v>
      </c>
      <c r="C476" s="1">
        <v>109869</v>
      </c>
      <c r="D476" s="7">
        <v>42489</v>
      </c>
      <c r="E476" s="1" t="s">
        <v>892</v>
      </c>
      <c r="F476" s="1" t="s">
        <v>895</v>
      </c>
      <c r="G476" s="1" t="s">
        <v>184</v>
      </c>
      <c r="H476" s="1" t="s">
        <v>895</v>
      </c>
      <c r="I476" s="1" t="s">
        <v>33</v>
      </c>
      <c r="J476" s="1" t="s">
        <v>895</v>
      </c>
      <c r="K476" s="1" t="s">
        <v>35</v>
      </c>
      <c r="L476" s="1" t="s">
        <v>895</v>
      </c>
      <c r="M476" s="1" t="s">
        <v>331</v>
      </c>
      <c r="N476" s="5">
        <v>185.376</v>
      </c>
      <c r="O476" s="27">
        <v>2</v>
      </c>
      <c r="P476" s="5">
        <v>-34.758000000000017</v>
      </c>
      <c r="Q476" s="5">
        <v>92.688000000000002</v>
      </c>
    </row>
    <row r="477" spans="1:17">
      <c r="A477" s="1">
        <v>467</v>
      </c>
      <c r="B477" s="1" t="s">
        <v>891</v>
      </c>
      <c r="C477" s="1">
        <v>109869</v>
      </c>
      <c r="D477" s="7">
        <v>42489</v>
      </c>
      <c r="E477" s="1" t="s">
        <v>892</v>
      </c>
      <c r="F477" s="1" t="s">
        <v>896</v>
      </c>
      <c r="G477" s="1" t="s">
        <v>184</v>
      </c>
      <c r="H477" s="1" t="s">
        <v>896</v>
      </c>
      <c r="I477" s="1" t="s">
        <v>33</v>
      </c>
      <c r="J477" s="1" t="s">
        <v>896</v>
      </c>
      <c r="K477" s="1" t="s">
        <v>35</v>
      </c>
      <c r="L477" s="1" t="s">
        <v>896</v>
      </c>
      <c r="M477" s="1" t="s">
        <v>56</v>
      </c>
      <c r="N477" s="5">
        <v>78.272000000000006</v>
      </c>
      <c r="O477" s="27">
        <v>2</v>
      </c>
      <c r="P477" s="5">
        <v>5.8704000000000001</v>
      </c>
      <c r="Q477" s="5">
        <v>39.136000000000003</v>
      </c>
    </row>
    <row r="478" spans="1:17">
      <c r="A478" s="1">
        <v>468</v>
      </c>
      <c r="B478" s="1" t="s">
        <v>897</v>
      </c>
      <c r="C478" s="1">
        <v>101399</v>
      </c>
      <c r="D478" s="7">
        <v>42028</v>
      </c>
      <c r="E478" s="1" t="s">
        <v>898</v>
      </c>
      <c r="F478" s="1" t="s">
        <v>609</v>
      </c>
      <c r="G478" s="1" t="s">
        <v>129</v>
      </c>
      <c r="H478" s="1" t="s">
        <v>609</v>
      </c>
      <c r="I478" s="1" t="s">
        <v>71</v>
      </c>
      <c r="J478" s="1" t="s">
        <v>609</v>
      </c>
      <c r="K478" s="1" t="s">
        <v>26</v>
      </c>
      <c r="L478" s="1" t="s">
        <v>609</v>
      </c>
      <c r="M478" s="1" t="s">
        <v>47</v>
      </c>
      <c r="N478" s="5">
        <v>254.74400000000003</v>
      </c>
      <c r="O478" s="27">
        <v>7</v>
      </c>
      <c r="P478" s="5">
        <v>-312.06139999999994</v>
      </c>
      <c r="Q478" s="5">
        <v>36.392000000000003</v>
      </c>
    </row>
    <row r="479" spans="1:17">
      <c r="A479" s="1">
        <v>469</v>
      </c>
      <c r="B479" s="1" t="s">
        <v>899</v>
      </c>
      <c r="C479" s="1">
        <v>154907</v>
      </c>
      <c r="D479" s="7">
        <v>42829</v>
      </c>
      <c r="E479" s="1" t="s">
        <v>496</v>
      </c>
      <c r="F479" s="1" t="s">
        <v>900</v>
      </c>
      <c r="G479" s="1" t="s">
        <v>70</v>
      </c>
      <c r="H479" s="1" t="s">
        <v>900</v>
      </c>
      <c r="I479" s="1" t="s">
        <v>71</v>
      </c>
      <c r="J479" s="1" t="s">
        <v>900</v>
      </c>
      <c r="K479" s="1" t="s">
        <v>26</v>
      </c>
      <c r="L479" s="1" t="s">
        <v>900</v>
      </c>
      <c r="M479" s="1" t="s">
        <v>27</v>
      </c>
      <c r="N479" s="5">
        <v>205.33279999999996</v>
      </c>
      <c r="O479" s="27">
        <v>2</v>
      </c>
      <c r="P479" s="5">
        <v>-36.235200000000006</v>
      </c>
      <c r="Q479" s="5">
        <v>102.6664</v>
      </c>
    </row>
    <row r="480" spans="1:17">
      <c r="A480" s="1">
        <v>470</v>
      </c>
      <c r="B480" s="1" t="s">
        <v>901</v>
      </c>
      <c r="C480" s="1">
        <v>100419</v>
      </c>
      <c r="D480" s="7">
        <v>42724</v>
      </c>
      <c r="E480" s="1" t="s">
        <v>543</v>
      </c>
      <c r="F480" s="1" t="s">
        <v>902</v>
      </c>
      <c r="G480" s="1" t="s">
        <v>129</v>
      </c>
      <c r="H480" s="1" t="s">
        <v>902</v>
      </c>
      <c r="I480" s="1" t="s">
        <v>71</v>
      </c>
      <c r="J480" s="1" t="s">
        <v>902</v>
      </c>
      <c r="K480" s="1" t="s">
        <v>35</v>
      </c>
      <c r="L480" s="1" t="s">
        <v>902</v>
      </c>
      <c r="M480" s="1" t="s">
        <v>54</v>
      </c>
      <c r="N480" s="5">
        <v>4.7879999999999985</v>
      </c>
      <c r="O480" s="27">
        <v>3</v>
      </c>
      <c r="P480" s="5">
        <v>-7.9001999999999999</v>
      </c>
      <c r="Q480" s="5">
        <v>1.5960000000000001</v>
      </c>
    </row>
    <row r="481" spans="1:17">
      <c r="A481" s="1">
        <v>471</v>
      </c>
      <c r="B481" s="1" t="s">
        <v>903</v>
      </c>
      <c r="C481" s="1">
        <v>154144</v>
      </c>
      <c r="D481" s="7">
        <v>42362</v>
      </c>
      <c r="E481" s="1" t="s">
        <v>904</v>
      </c>
      <c r="F481" s="1" t="s">
        <v>905</v>
      </c>
      <c r="G481" s="1" t="s">
        <v>161</v>
      </c>
      <c r="H481" s="1" t="s">
        <v>905</v>
      </c>
      <c r="I481" s="1" t="s">
        <v>95</v>
      </c>
      <c r="J481" s="1" t="s">
        <v>905</v>
      </c>
      <c r="K481" s="1" t="s">
        <v>35</v>
      </c>
      <c r="L481" s="1" t="s">
        <v>905</v>
      </c>
      <c r="M481" s="1" t="s">
        <v>63</v>
      </c>
      <c r="N481" s="5">
        <v>55.48</v>
      </c>
      <c r="O481" s="27">
        <v>1</v>
      </c>
      <c r="P481" s="5">
        <v>26.630399999999998</v>
      </c>
      <c r="Q481" s="5">
        <v>55.48</v>
      </c>
    </row>
    <row r="482" spans="1:17">
      <c r="A482" s="1">
        <v>472</v>
      </c>
      <c r="B482" s="1" t="s">
        <v>906</v>
      </c>
      <c r="C482" s="1">
        <v>144666</v>
      </c>
      <c r="D482" s="7">
        <v>41954</v>
      </c>
      <c r="E482" s="1" t="s">
        <v>907</v>
      </c>
      <c r="F482" s="1" t="s">
        <v>908</v>
      </c>
      <c r="G482" s="1" t="s">
        <v>32</v>
      </c>
      <c r="H482" s="1" t="s">
        <v>908</v>
      </c>
      <c r="I482" s="1" t="s">
        <v>33</v>
      </c>
      <c r="J482" s="1" t="s">
        <v>908</v>
      </c>
      <c r="K482" s="1" t="s">
        <v>35</v>
      </c>
      <c r="L482" s="1" t="s">
        <v>908</v>
      </c>
      <c r="M482" s="1" t="s">
        <v>43</v>
      </c>
      <c r="N482" s="5">
        <v>340.92</v>
      </c>
      <c r="O482" s="27">
        <v>3</v>
      </c>
      <c r="P482" s="5">
        <v>3.4091999999999842</v>
      </c>
      <c r="Q482" s="5">
        <v>113.64</v>
      </c>
    </row>
    <row r="483" spans="1:17">
      <c r="A483" s="1">
        <v>473</v>
      </c>
      <c r="B483" s="1" t="s">
        <v>906</v>
      </c>
      <c r="C483" s="1">
        <v>144666</v>
      </c>
      <c r="D483" s="7">
        <v>41954</v>
      </c>
      <c r="E483" s="1" t="s">
        <v>907</v>
      </c>
      <c r="F483" s="1" t="s">
        <v>909</v>
      </c>
      <c r="G483" s="1" t="s">
        <v>32</v>
      </c>
      <c r="H483" s="1" t="s">
        <v>909</v>
      </c>
      <c r="I483" s="1" t="s">
        <v>33</v>
      </c>
      <c r="J483" s="1" t="s">
        <v>909</v>
      </c>
      <c r="K483" s="1" t="s">
        <v>26</v>
      </c>
      <c r="L483" s="1" t="s">
        <v>909</v>
      </c>
      <c r="M483" s="1" t="s">
        <v>27</v>
      </c>
      <c r="N483" s="5">
        <v>222.66599999999997</v>
      </c>
      <c r="O483" s="27">
        <v>2</v>
      </c>
      <c r="P483" s="5">
        <v>10.478399999999979</v>
      </c>
      <c r="Q483" s="5">
        <v>111.333</v>
      </c>
    </row>
    <row r="484" spans="1:17">
      <c r="A484" s="1">
        <v>474</v>
      </c>
      <c r="B484" s="1" t="s">
        <v>906</v>
      </c>
      <c r="C484" s="1">
        <v>144666</v>
      </c>
      <c r="D484" s="7">
        <v>41954</v>
      </c>
      <c r="E484" s="1" t="s">
        <v>907</v>
      </c>
      <c r="F484" s="1" t="s">
        <v>910</v>
      </c>
      <c r="G484" s="1" t="s">
        <v>32</v>
      </c>
      <c r="H484" s="1" t="s">
        <v>910</v>
      </c>
      <c r="I484" s="1" t="s">
        <v>33</v>
      </c>
      <c r="J484" s="1" t="s">
        <v>910</v>
      </c>
      <c r="K484" s="1" t="s">
        <v>51</v>
      </c>
      <c r="L484" s="1" t="s">
        <v>910</v>
      </c>
      <c r="M484" s="1" t="s">
        <v>52</v>
      </c>
      <c r="N484" s="5">
        <v>703.96800000000007</v>
      </c>
      <c r="O484" s="27">
        <v>4</v>
      </c>
      <c r="P484" s="5">
        <v>87.995999999999924</v>
      </c>
      <c r="Q484" s="5">
        <v>175.99199999999999</v>
      </c>
    </row>
    <row r="485" spans="1:17">
      <c r="A485" s="1">
        <v>475</v>
      </c>
      <c r="B485" s="1" t="s">
        <v>906</v>
      </c>
      <c r="C485" s="1">
        <v>144666</v>
      </c>
      <c r="D485" s="7">
        <v>41954</v>
      </c>
      <c r="E485" s="1" t="s">
        <v>907</v>
      </c>
      <c r="F485" s="1" t="s">
        <v>911</v>
      </c>
      <c r="G485" s="1" t="s">
        <v>32</v>
      </c>
      <c r="H485" s="1" t="s">
        <v>911</v>
      </c>
      <c r="I485" s="1" t="s">
        <v>33</v>
      </c>
      <c r="J485" s="1" t="s">
        <v>911</v>
      </c>
      <c r="K485" s="1" t="s">
        <v>35</v>
      </c>
      <c r="L485" s="1" t="s">
        <v>911</v>
      </c>
      <c r="M485" s="1" t="s">
        <v>43</v>
      </c>
      <c r="N485" s="5">
        <v>92.52</v>
      </c>
      <c r="O485" s="27">
        <v>6</v>
      </c>
      <c r="P485" s="5">
        <v>24.980400000000007</v>
      </c>
      <c r="Q485" s="5">
        <v>15.42</v>
      </c>
    </row>
    <row r="486" spans="1:17">
      <c r="A486" s="1">
        <v>476</v>
      </c>
      <c r="B486" s="1" t="s">
        <v>906</v>
      </c>
      <c r="C486" s="1">
        <v>144666</v>
      </c>
      <c r="D486" s="7">
        <v>41954</v>
      </c>
      <c r="E486" s="1" t="s">
        <v>907</v>
      </c>
      <c r="F486" s="1" t="s">
        <v>912</v>
      </c>
      <c r="G486" s="1" t="s">
        <v>32</v>
      </c>
      <c r="H486" s="1" t="s">
        <v>912</v>
      </c>
      <c r="I486" s="1" t="s">
        <v>33</v>
      </c>
      <c r="J486" s="1" t="s">
        <v>912</v>
      </c>
      <c r="K486" s="1" t="s">
        <v>35</v>
      </c>
      <c r="L486" s="1" t="s">
        <v>912</v>
      </c>
      <c r="M486" s="1" t="s">
        <v>63</v>
      </c>
      <c r="N486" s="5">
        <v>62.649999999999991</v>
      </c>
      <c r="O486" s="27">
        <v>7</v>
      </c>
      <c r="P486" s="5">
        <v>28.818999999999996</v>
      </c>
      <c r="Q486" s="5">
        <v>8.9499999999999993</v>
      </c>
    </row>
    <row r="487" spans="1:17">
      <c r="A487" s="1">
        <v>477</v>
      </c>
      <c r="B487" s="1" t="s">
        <v>906</v>
      </c>
      <c r="C487" s="1">
        <v>144666</v>
      </c>
      <c r="D487" s="7">
        <v>41954</v>
      </c>
      <c r="E487" s="1" t="s">
        <v>907</v>
      </c>
      <c r="F487" s="1" t="s">
        <v>913</v>
      </c>
      <c r="G487" s="1" t="s">
        <v>32</v>
      </c>
      <c r="H487" s="1" t="s">
        <v>913</v>
      </c>
      <c r="I487" s="1" t="s">
        <v>33</v>
      </c>
      <c r="J487" s="1" t="s">
        <v>913</v>
      </c>
      <c r="K487" s="1" t="s">
        <v>35</v>
      </c>
      <c r="L487" s="1" t="s">
        <v>913</v>
      </c>
      <c r="M487" s="1" t="s">
        <v>63</v>
      </c>
      <c r="N487" s="5">
        <v>94.85</v>
      </c>
      <c r="O487" s="27">
        <v>5</v>
      </c>
      <c r="P487" s="5">
        <v>45.527999999999992</v>
      </c>
      <c r="Q487" s="5">
        <v>18.97</v>
      </c>
    </row>
    <row r="488" spans="1:17">
      <c r="A488" s="1">
        <v>478</v>
      </c>
      <c r="B488" s="1" t="s">
        <v>914</v>
      </c>
      <c r="C488" s="1">
        <v>103891</v>
      </c>
      <c r="D488" s="7">
        <v>42570</v>
      </c>
      <c r="E488" s="1" t="s">
        <v>569</v>
      </c>
      <c r="F488" s="1" t="s">
        <v>915</v>
      </c>
      <c r="G488" s="1" t="s">
        <v>32</v>
      </c>
      <c r="H488" s="1" t="s">
        <v>915</v>
      </c>
      <c r="I488" s="1" t="s">
        <v>33</v>
      </c>
      <c r="J488" s="1" t="s">
        <v>915</v>
      </c>
      <c r="K488" s="1" t="s">
        <v>51</v>
      </c>
      <c r="L488" s="1" t="s">
        <v>915</v>
      </c>
      <c r="M488" s="1" t="s">
        <v>52</v>
      </c>
      <c r="N488" s="5">
        <v>95.76</v>
      </c>
      <c r="O488" s="27">
        <v>6</v>
      </c>
      <c r="P488" s="5">
        <v>7.1819999999999951</v>
      </c>
      <c r="Q488" s="5">
        <v>15.96</v>
      </c>
    </row>
    <row r="489" spans="1:17">
      <c r="A489" s="1">
        <v>479</v>
      </c>
      <c r="B489" s="1" t="s">
        <v>916</v>
      </c>
      <c r="C489" s="1">
        <v>152632</v>
      </c>
      <c r="D489" s="7">
        <v>42676</v>
      </c>
      <c r="E489" s="1" t="s">
        <v>917</v>
      </c>
      <c r="F489" s="1" t="s">
        <v>622</v>
      </c>
      <c r="G489" s="1" t="s">
        <v>161</v>
      </c>
      <c r="H489" s="1" t="s">
        <v>622</v>
      </c>
      <c r="I489" s="1" t="s">
        <v>95</v>
      </c>
      <c r="J489" s="1" t="s">
        <v>622</v>
      </c>
      <c r="K489" s="1" t="s">
        <v>26</v>
      </c>
      <c r="L489" s="1" t="s">
        <v>622</v>
      </c>
      <c r="M489" s="1" t="s">
        <v>47</v>
      </c>
      <c r="N489" s="5">
        <v>40.200000000000003</v>
      </c>
      <c r="O489" s="27">
        <v>3</v>
      </c>
      <c r="P489" s="5">
        <v>19.295999999999999</v>
      </c>
      <c r="Q489" s="5">
        <v>13.4</v>
      </c>
    </row>
    <row r="490" spans="1:17">
      <c r="A490" s="1">
        <v>480</v>
      </c>
      <c r="B490" s="1" t="s">
        <v>918</v>
      </c>
      <c r="C490" s="1">
        <v>100790</v>
      </c>
      <c r="D490" s="7">
        <v>42553</v>
      </c>
      <c r="E490" s="1" t="s">
        <v>919</v>
      </c>
      <c r="F490" s="1" t="s">
        <v>920</v>
      </c>
      <c r="G490" s="1" t="s">
        <v>161</v>
      </c>
      <c r="H490" s="1" t="s">
        <v>920</v>
      </c>
      <c r="I490" s="1" t="s">
        <v>95</v>
      </c>
      <c r="J490" s="1" t="s">
        <v>920</v>
      </c>
      <c r="K490" s="1" t="s">
        <v>35</v>
      </c>
      <c r="L490" s="1" t="s">
        <v>920</v>
      </c>
      <c r="M490" s="1" t="s">
        <v>49</v>
      </c>
      <c r="N490" s="5">
        <v>14.7</v>
      </c>
      <c r="O490" s="27">
        <v>5</v>
      </c>
      <c r="P490" s="5">
        <v>6.6150000000000002</v>
      </c>
      <c r="Q490" s="5">
        <v>2.94</v>
      </c>
    </row>
    <row r="491" spans="1:17">
      <c r="A491" s="1">
        <v>481</v>
      </c>
      <c r="B491" s="1" t="s">
        <v>918</v>
      </c>
      <c r="C491" s="1">
        <v>100790</v>
      </c>
      <c r="D491" s="7">
        <v>42553</v>
      </c>
      <c r="E491" s="1" t="s">
        <v>919</v>
      </c>
      <c r="F491" s="1" t="s">
        <v>921</v>
      </c>
      <c r="G491" s="1" t="s">
        <v>161</v>
      </c>
      <c r="H491" s="1" t="s">
        <v>921</v>
      </c>
      <c r="I491" s="1" t="s">
        <v>95</v>
      </c>
      <c r="J491" s="1" t="s">
        <v>921</v>
      </c>
      <c r="K491" s="1" t="s">
        <v>35</v>
      </c>
      <c r="L491" s="1" t="s">
        <v>921</v>
      </c>
      <c r="M491" s="1" t="s">
        <v>43</v>
      </c>
      <c r="N491" s="5">
        <v>704.25</v>
      </c>
      <c r="O491" s="27">
        <v>5</v>
      </c>
      <c r="P491" s="5">
        <v>84.51</v>
      </c>
      <c r="Q491" s="5">
        <v>140.85</v>
      </c>
    </row>
    <row r="492" spans="1:17">
      <c r="A492" s="1">
        <v>482</v>
      </c>
      <c r="B492" s="1" t="s">
        <v>922</v>
      </c>
      <c r="C492" s="1">
        <v>134677</v>
      </c>
      <c r="D492" s="7">
        <v>41922</v>
      </c>
      <c r="E492" s="1" t="s">
        <v>923</v>
      </c>
      <c r="F492" s="1" t="s">
        <v>924</v>
      </c>
      <c r="G492" s="1" t="s">
        <v>32</v>
      </c>
      <c r="H492" s="1" t="s">
        <v>924</v>
      </c>
      <c r="I492" s="1" t="s">
        <v>33</v>
      </c>
      <c r="J492" s="1" t="s">
        <v>924</v>
      </c>
      <c r="K492" s="1" t="s">
        <v>51</v>
      </c>
      <c r="L492" s="1" t="s">
        <v>924</v>
      </c>
      <c r="M492" s="1" t="s">
        <v>103</v>
      </c>
      <c r="N492" s="5">
        <v>9.09</v>
      </c>
      <c r="O492" s="27">
        <v>3</v>
      </c>
      <c r="P492" s="5">
        <v>1.9088999999999996</v>
      </c>
      <c r="Q492" s="5">
        <v>3.03</v>
      </c>
    </row>
    <row r="493" spans="1:17">
      <c r="A493" s="1">
        <v>483</v>
      </c>
      <c r="B493" s="1" t="s">
        <v>925</v>
      </c>
      <c r="C493" s="1">
        <v>127691</v>
      </c>
      <c r="D493" s="7">
        <v>41847</v>
      </c>
      <c r="E493" s="1" t="s">
        <v>926</v>
      </c>
      <c r="F493" s="1" t="s">
        <v>216</v>
      </c>
      <c r="G493" s="1" t="s">
        <v>161</v>
      </c>
      <c r="H493" s="1" t="s">
        <v>216</v>
      </c>
      <c r="I493" s="1" t="s">
        <v>95</v>
      </c>
      <c r="J493" s="1" t="s">
        <v>216</v>
      </c>
      <c r="K493" s="1" t="s">
        <v>35</v>
      </c>
      <c r="L493" s="1" t="s">
        <v>216</v>
      </c>
      <c r="M493" s="1" t="s">
        <v>49</v>
      </c>
      <c r="N493" s="5">
        <v>5.96</v>
      </c>
      <c r="O493" s="27">
        <v>2</v>
      </c>
      <c r="P493" s="5">
        <v>1.6688000000000001</v>
      </c>
      <c r="Q493" s="5">
        <v>2.98</v>
      </c>
    </row>
    <row r="494" spans="1:17">
      <c r="A494" s="1">
        <v>484</v>
      </c>
      <c r="B494" s="1" t="s">
        <v>925</v>
      </c>
      <c r="C494" s="1">
        <v>127691</v>
      </c>
      <c r="D494" s="7">
        <v>41847</v>
      </c>
      <c r="E494" s="1" t="s">
        <v>926</v>
      </c>
      <c r="F494" s="1" t="s">
        <v>927</v>
      </c>
      <c r="G494" s="1" t="s">
        <v>161</v>
      </c>
      <c r="H494" s="1" t="s">
        <v>927</v>
      </c>
      <c r="I494" s="1" t="s">
        <v>95</v>
      </c>
      <c r="J494" s="1" t="s">
        <v>927</v>
      </c>
      <c r="K494" s="1" t="s">
        <v>51</v>
      </c>
      <c r="L494" s="1" t="s">
        <v>927</v>
      </c>
      <c r="M494" s="1" t="s">
        <v>103</v>
      </c>
      <c r="N494" s="5">
        <v>159.97999999999999</v>
      </c>
      <c r="O494" s="27">
        <v>2</v>
      </c>
      <c r="P494" s="5">
        <v>57.592799999999997</v>
      </c>
      <c r="Q494" s="5">
        <v>79.989999999999995</v>
      </c>
    </row>
    <row r="495" spans="1:17">
      <c r="A495" s="1">
        <v>485</v>
      </c>
      <c r="B495" s="1" t="s">
        <v>928</v>
      </c>
      <c r="C495" s="1">
        <v>140963</v>
      </c>
      <c r="D495" s="7">
        <v>42899</v>
      </c>
      <c r="E495" s="1" t="s">
        <v>929</v>
      </c>
      <c r="F495" s="1" t="s">
        <v>930</v>
      </c>
      <c r="G495" s="1" t="s">
        <v>32</v>
      </c>
      <c r="H495" s="1" t="s">
        <v>930</v>
      </c>
      <c r="I495" s="1" t="s">
        <v>33</v>
      </c>
      <c r="J495" s="1" t="s">
        <v>930</v>
      </c>
      <c r="K495" s="1" t="s">
        <v>35</v>
      </c>
      <c r="L495" s="1" t="s">
        <v>930</v>
      </c>
      <c r="M495" s="1" t="s">
        <v>36</v>
      </c>
      <c r="N495" s="5">
        <v>29.6</v>
      </c>
      <c r="O495" s="27">
        <v>2</v>
      </c>
      <c r="P495" s="5">
        <v>14.8</v>
      </c>
      <c r="Q495" s="5">
        <v>14.8</v>
      </c>
    </row>
    <row r="496" spans="1:17">
      <c r="A496" s="1">
        <v>486</v>
      </c>
      <c r="B496" s="1" t="s">
        <v>928</v>
      </c>
      <c r="C496" s="1">
        <v>140963</v>
      </c>
      <c r="D496" s="7">
        <v>42899</v>
      </c>
      <c r="E496" s="1" t="s">
        <v>929</v>
      </c>
      <c r="F496" s="1" t="s">
        <v>931</v>
      </c>
      <c r="G496" s="1" t="s">
        <v>32</v>
      </c>
      <c r="H496" s="1" t="s">
        <v>931</v>
      </c>
      <c r="I496" s="1" t="s">
        <v>33</v>
      </c>
      <c r="J496" s="1" t="s">
        <v>931</v>
      </c>
      <c r="K496" s="1" t="s">
        <v>26</v>
      </c>
      <c r="L496" s="1" t="s">
        <v>931</v>
      </c>
      <c r="M496" s="1" t="s">
        <v>27</v>
      </c>
      <c r="N496" s="5">
        <v>514.16499999999996</v>
      </c>
      <c r="O496" s="27">
        <v>5</v>
      </c>
      <c r="P496" s="5">
        <v>-30.24499999999999</v>
      </c>
      <c r="Q496" s="5">
        <v>102.833</v>
      </c>
    </row>
    <row r="497" spans="1:17">
      <c r="A497" s="1">
        <v>487</v>
      </c>
      <c r="B497" s="1" t="s">
        <v>928</v>
      </c>
      <c r="C497" s="1">
        <v>140963</v>
      </c>
      <c r="D497" s="7">
        <v>42899</v>
      </c>
      <c r="E497" s="1" t="s">
        <v>929</v>
      </c>
      <c r="F497" s="1" t="s">
        <v>932</v>
      </c>
      <c r="G497" s="1" t="s">
        <v>32</v>
      </c>
      <c r="H497" s="1" t="s">
        <v>932</v>
      </c>
      <c r="I497" s="1" t="s">
        <v>33</v>
      </c>
      <c r="J497" s="1" t="s">
        <v>932</v>
      </c>
      <c r="K497" s="1" t="s">
        <v>51</v>
      </c>
      <c r="L497" s="1" t="s">
        <v>932</v>
      </c>
      <c r="M497" s="1" t="s">
        <v>52</v>
      </c>
      <c r="N497" s="5">
        <v>279.95999999999998</v>
      </c>
      <c r="O497" s="27">
        <v>5</v>
      </c>
      <c r="P497" s="5">
        <v>17.497500000000016</v>
      </c>
      <c r="Q497" s="5">
        <v>55.991999999999997</v>
      </c>
    </row>
    <row r="498" spans="1:17">
      <c r="A498" s="1">
        <v>488</v>
      </c>
      <c r="B498" s="1" t="s">
        <v>933</v>
      </c>
      <c r="C498" s="1">
        <v>154627</v>
      </c>
      <c r="D498" s="7">
        <v>41943</v>
      </c>
      <c r="E498" s="1" t="s">
        <v>934</v>
      </c>
      <c r="F498" s="1" t="s">
        <v>935</v>
      </c>
      <c r="G498" s="1" t="s">
        <v>129</v>
      </c>
      <c r="H498" s="1" t="s">
        <v>935</v>
      </c>
      <c r="I498" s="1" t="s">
        <v>71</v>
      </c>
      <c r="J498" s="1" t="s">
        <v>935</v>
      </c>
      <c r="K498" s="1" t="s">
        <v>51</v>
      </c>
      <c r="L498" s="1" t="s">
        <v>935</v>
      </c>
      <c r="M498" s="1" t="s">
        <v>52</v>
      </c>
      <c r="N498" s="5">
        <v>2735.9520000000002</v>
      </c>
      <c r="O498" s="27">
        <v>6</v>
      </c>
      <c r="P498" s="5">
        <v>341.99399999999969</v>
      </c>
      <c r="Q498" s="5">
        <v>455.99200000000002</v>
      </c>
    </row>
    <row r="499" spans="1:17">
      <c r="A499" s="1">
        <v>489</v>
      </c>
      <c r="B499" s="1" t="s">
        <v>936</v>
      </c>
      <c r="C499" s="1">
        <v>133753</v>
      </c>
      <c r="D499" s="7">
        <v>41803</v>
      </c>
      <c r="E499" s="1" t="s">
        <v>937</v>
      </c>
      <c r="F499" s="1" t="s">
        <v>938</v>
      </c>
      <c r="G499" s="1" t="s">
        <v>70</v>
      </c>
      <c r="H499" s="1" t="s">
        <v>938</v>
      </c>
      <c r="I499" s="1" t="s">
        <v>71</v>
      </c>
      <c r="J499" s="1" t="s">
        <v>938</v>
      </c>
      <c r="K499" s="1" t="s">
        <v>51</v>
      </c>
      <c r="L499" s="1" t="s">
        <v>938</v>
      </c>
      <c r="M499" s="1" t="s">
        <v>52</v>
      </c>
      <c r="N499" s="5">
        <v>7.9920000000000009</v>
      </c>
      <c r="O499" s="27">
        <v>1</v>
      </c>
      <c r="P499" s="5">
        <v>0.59940000000000015</v>
      </c>
      <c r="Q499" s="5">
        <v>7.992</v>
      </c>
    </row>
    <row r="500" spans="1:17">
      <c r="A500" s="1">
        <v>490</v>
      </c>
      <c r="B500" s="1" t="s">
        <v>936</v>
      </c>
      <c r="C500" s="1">
        <v>133753</v>
      </c>
      <c r="D500" s="7">
        <v>41803</v>
      </c>
      <c r="E500" s="1" t="s">
        <v>937</v>
      </c>
      <c r="F500" s="1" t="s">
        <v>939</v>
      </c>
      <c r="G500" s="1" t="s">
        <v>70</v>
      </c>
      <c r="H500" s="1" t="s">
        <v>939</v>
      </c>
      <c r="I500" s="1" t="s">
        <v>71</v>
      </c>
      <c r="J500" s="1" t="s">
        <v>939</v>
      </c>
      <c r="K500" s="1" t="s">
        <v>51</v>
      </c>
      <c r="L500" s="1" t="s">
        <v>939</v>
      </c>
      <c r="M500" s="1" t="s">
        <v>103</v>
      </c>
      <c r="N500" s="5">
        <v>63.984000000000009</v>
      </c>
      <c r="O500" s="27">
        <v>2</v>
      </c>
      <c r="P500" s="5">
        <v>10.397399999999998</v>
      </c>
      <c r="Q500" s="5">
        <v>31.992000000000001</v>
      </c>
    </row>
    <row r="501" spans="1:17">
      <c r="A501" s="1">
        <v>491</v>
      </c>
      <c r="B501" s="1" t="s">
        <v>936</v>
      </c>
      <c r="C501" s="1">
        <v>133753</v>
      </c>
      <c r="D501" s="7">
        <v>41803</v>
      </c>
      <c r="E501" s="1" t="s">
        <v>937</v>
      </c>
      <c r="F501" s="1" t="s">
        <v>872</v>
      </c>
      <c r="G501" s="1" t="s">
        <v>70</v>
      </c>
      <c r="H501" s="1" t="s">
        <v>872</v>
      </c>
      <c r="I501" s="1" t="s">
        <v>71</v>
      </c>
      <c r="J501" s="1" t="s">
        <v>872</v>
      </c>
      <c r="K501" s="1" t="s">
        <v>35</v>
      </c>
      <c r="L501" s="1" t="s">
        <v>872</v>
      </c>
      <c r="M501" s="1" t="s">
        <v>49</v>
      </c>
      <c r="N501" s="5">
        <v>70.367999999999995</v>
      </c>
      <c r="O501" s="27">
        <v>2</v>
      </c>
      <c r="P501" s="5">
        <v>6.1572000000000031</v>
      </c>
      <c r="Q501" s="5">
        <v>35.183999999999997</v>
      </c>
    </row>
    <row r="502" spans="1:17">
      <c r="A502" s="1">
        <v>492</v>
      </c>
      <c r="B502" s="1" t="s">
        <v>940</v>
      </c>
      <c r="C502" s="1">
        <v>113362</v>
      </c>
      <c r="D502" s="7">
        <v>41901</v>
      </c>
      <c r="E502" s="1" t="s">
        <v>941</v>
      </c>
      <c r="F502" s="1" t="s">
        <v>942</v>
      </c>
      <c r="G502" s="1" t="s">
        <v>161</v>
      </c>
      <c r="H502" s="1" t="s">
        <v>942</v>
      </c>
      <c r="I502" s="1" t="s">
        <v>95</v>
      </c>
      <c r="J502" s="1" t="s">
        <v>942</v>
      </c>
      <c r="K502" s="1" t="s">
        <v>35</v>
      </c>
      <c r="L502" s="1" t="s">
        <v>942</v>
      </c>
      <c r="M502" s="1" t="s">
        <v>43</v>
      </c>
      <c r="N502" s="5">
        <v>449.15</v>
      </c>
      <c r="O502" s="27">
        <v>5</v>
      </c>
      <c r="P502" s="5">
        <v>8.9829999999999899</v>
      </c>
      <c r="Q502" s="5">
        <v>89.83</v>
      </c>
    </row>
    <row r="503" spans="1:17">
      <c r="A503" s="1">
        <v>493</v>
      </c>
      <c r="B503" s="1" t="s">
        <v>940</v>
      </c>
      <c r="C503" s="1">
        <v>113362</v>
      </c>
      <c r="D503" s="7">
        <v>41901</v>
      </c>
      <c r="E503" s="1" t="s">
        <v>941</v>
      </c>
      <c r="F503" s="1" t="s">
        <v>943</v>
      </c>
      <c r="G503" s="1" t="s">
        <v>161</v>
      </c>
      <c r="H503" s="1" t="s">
        <v>943</v>
      </c>
      <c r="I503" s="1" t="s">
        <v>95</v>
      </c>
      <c r="J503" s="1" t="s">
        <v>943</v>
      </c>
      <c r="K503" s="1" t="s">
        <v>35</v>
      </c>
      <c r="L503" s="1" t="s">
        <v>943</v>
      </c>
      <c r="M503" s="1" t="s">
        <v>110</v>
      </c>
      <c r="N503" s="5">
        <v>11.07</v>
      </c>
      <c r="O503" s="27">
        <v>3</v>
      </c>
      <c r="P503" s="5">
        <v>5.0921999999999992</v>
      </c>
      <c r="Q503" s="5">
        <v>3.69</v>
      </c>
    </row>
    <row r="504" spans="1:17">
      <c r="A504" s="1">
        <v>494</v>
      </c>
      <c r="B504" s="1" t="s">
        <v>944</v>
      </c>
      <c r="C504" s="1">
        <v>169166</v>
      </c>
      <c r="D504" s="7">
        <v>42504</v>
      </c>
      <c r="E504" s="1" t="s">
        <v>945</v>
      </c>
      <c r="F504" s="1" t="s">
        <v>946</v>
      </c>
      <c r="G504" s="1" t="s">
        <v>66</v>
      </c>
      <c r="H504" s="1" t="s">
        <v>946</v>
      </c>
      <c r="I504" s="1" t="s">
        <v>33</v>
      </c>
      <c r="J504" s="1" t="s">
        <v>946</v>
      </c>
      <c r="K504" s="1" t="s">
        <v>51</v>
      </c>
      <c r="L504" s="1" t="s">
        <v>946</v>
      </c>
      <c r="M504" s="1" t="s">
        <v>103</v>
      </c>
      <c r="N504" s="5">
        <v>93.98</v>
      </c>
      <c r="O504" s="27">
        <v>2</v>
      </c>
      <c r="P504" s="5">
        <v>13.157200000000003</v>
      </c>
      <c r="Q504" s="5">
        <v>46.99</v>
      </c>
    </row>
    <row r="505" spans="1:17">
      <c r="A505" s="1">
        <v>495</v>
      </c>
      <c r="B505" s="1" t="s">
        <v>947</v>
      </c>
      <c r="C505" s="1">
        <v>120929</v>
      </c>
      <c r="D505" s="7">
        <v>42450</v>
      </c>
      <c r="E505" s="1" t="s">
        <v>948</v>
      </c>
      <c r="F505" s="1" t="s">
        <v>949</v>
      </c>
      <c r="G505" s="1" t="s">
        <v>198</v>
      </c>
      <c r="H505" s="1" t="s">
        <v>949</v>
      </c>
      <c r="I505" s="1" t="s">
        <v>24</v>
      </c>
      <c r="J505" s="1" t="s">
        <v>949</v>
      </c>
      <c r="K505" s="1" t="s">
        <v>26</v>
      </c>
      <c r="L505" s="1" t="s">
        <v>949</v>
      </c>
      <c r="M505" s="1" t="s">
        <v>41</v>
      </c>
      <c r="N505" s="5">
        <v>189.88200000000001</v>
      </c>
      <c r="O505" s="27">
        <v>3</v>
      </c>
      <c r="P505" s="5">
        <v>-94.941000000000017</v>
      </c>
      <c r="Q505" s="5">
        <v>63.293999999999997</v>
      </c>
    </row>
    <row r="506" spans="1:17">
      <c r="A506" s="1">
        <v>496</v>
      </c>
      <c r="B506" s="1" t="s">
        <v>950</v>
      </c>
      <c r="C506" s="1">
        <v>134782</v>
      </c>
      <c r="D506" s="7">
        <v>42369</v>
      </c>
      <c r="E506" s="1" t="s">
        <v>951</v>
      </c>
      <c r="F506" s="1" t="s">
        <v>953</v>
      </c>
      <c r="G506" s="1" t="s">
        <v>952</v>
      </c>
      <c r="H506" s="1" t="s">
        <v>953</v>
      </c>
      <c r="I506" s="1" t="s">
        <v>24</v>
      </c>
      <c r="J506" s="1" t="s">
        <v>953</v>
      </c>
      <c r="K506" s="1" t="s">
        <v>35</v>
      </c>
      <c r="L506" s="1" t="s">
        <v>953</v>
      </c>
      <c r="M506" s="1" t="s">
        <v>110</v>
      </c>
      <c r="N506" s="5">
        <v>105.42</v>
      </c>
      <c r="O506" s="27">
        <v>2</v>
      </c>
      <c r="P506" s="5">
        <v>51.655799999999999</v>
      </c>
      <c r="Q506" s="5">
        <v>52.71</v>
      </c>
    </row>
    <row r="507" spans="1:17">
      <c r="A507" s="1">
        <v>497</v>
      </c>
      <c r="B507" s="1" t="s">
        <v>954</v>
      </c>
      <c r="C507" s="1">
        <v>126158</v>
      </c>
      <c r="D507" s="7">
        <v>42582</v>
      </c>
      <c r="E507" s="1" t="s">
        <v>882</v>
      </c>
      <c r="F507" s="1" t="s">
        <v>955</v>
      </c>
      <c r="G507" s="1" t="s">
        <v>32</v>
      </c>
      <c r="H507" s="1" t="s">
        <v>955</v>
      </c>
      <c r="I507" s="1" t="s">
        <v>33</v>
      </c>
      <c r="J507" s="1" t="s">
        <v>955</v>
      </c>
      <c r="K507" s="1" t="s">
        <v>35</v>
      </c>
      <c r="L507" s="1" t="s">
        <v>955</v>
      </c>
      <c r="M507" s="1" t="s">
        <v>54</v>
      </c>
      <c r="N507" s="5">
        <v>119.61600000000001</v>
      </c>
      <c r="O507" s="27">
        <v>8</v>
      </c>
      <c r="P507" s="5">
        <v>40.370399999999997</v>
      </c>
      <c r="Q507" s="5">
        <v>14.952</v>
      </c>
    </row>
    <row r="508" spans="1:17">
      <c r="A508" s="1">
        <v>498</v>
      </c>
      <c r="B508" s="1" t="s">
        <v>954</v>
      </c>
      <c r="C508" s="1">
        <v>126158</v>
      </c>
      <c r="D508" s="7">
        <v>42582</v>
      </c>
      <c r="E508" s="1" t="s">
        <v>882</v>
      </c>
      <c r="F508" s="1" t="s">
        <v>956</v>
      </c>
      <c r="G508" s="1" t="s">
        <v>32</v>
      </c>
      <c r="H508" s="1" t="s">
        <v>956</v>
      </c>
      <c r="I508" s="1" t="s">
        <v>33</v>
      </c>
      <c r="J508" s="1" t="s">
        <v>956</v>
      </c>
      <c r="K508" s="1" t="s">
        <v>26</v>
      </c>
      <c r="L508" s="1" t="s">
        <v>956</v>
      </c>
      <c r="M508" s="1" t="s">
        <v>47</v>
      </c>
      <c r="N508" s="5">
        <v>255.76</v>
      </c>
      <c r="O508" s="27">
        <v>4</v>
      </c>
      <c r="P508" s="5">
        <v>81.843199999999996</v>
      </c>
      <c r="Q508" s="5">
        <v>63.94</v>
      </c>
    </row>
    <row r="509" spans="1:17">
      <c r="A509" s="1">
        <v>499</v>
      </c>
      <c r="B509" s="1" t="s">
        <v>954</v>
      </c>
      <c r="C509" s="1">
        <v>126158</v>
      </c>
      <c r="D509" s="7">
        <v>42582</v>
      </c>
      <c r="E509" s="1" t="s">
        <v>882</v>
      </c>
      <c r="F509" s="1" t="s">
        <v>650</v>
      </c>
      <c r="G509" s="1" t="s">
        <v>32</v>
      </c>
      <c r="H509" s="1" t="s">
        <v>650</v>
      </c>
      <c r="I509" s="1" t="s">
        <v>33</v>
      </c>
      <c r="J509" s="1" t="s">
        <v>650</v>
      </c>
      <c r="K509" s="1" t="s">
        <v>26</v>
      </c>
      <c r="L509" s="1" t="s">
        <v>650</v>
      </c>
      <c r="M509" s="1" t="s">
        <v>29</v>
      </c>
      <c r="N509" s="5">
        <v>241.56799999999998</v>
      </c>
      <c r="O509" s="27">
        <v>2</v>
      </c>
      <c r="P509" s="5">
        <v>18.11760000000001</v>
      </c>
      <c r="Q509" s="5">
        <v>120.78400000000001</v>
      </c>
    </row>
    <row r="510" spans="1:17">
      <c r="A510" s="1">
        <v>500</v>
      </c>
      <c r="B510" s="1" t="s">
        <v>954</v>
      </c>
      <c r="C510" s="1">
        <v>126158</v>
      </c>
      <c r="D510" s="7">
        <v>42582</v>
      </c>
      <c r="E510" s="1" t="s">
        <v>882</v>
      </c>
      <c r="F510" s="1" t="s">
        <v>957</v>
      </c>
      <c r="G510" s="1" t="s">
        <v>32</v>
      </c>
      <c r="H510" s="1" t="s">
        <v>957</v>
      </c>
      <c r="I510" s="1" t="s">
        <v>33</v>
      </c>
      <c r="J510" s="1" t="s">
        <v>957</v>
      </c>
      <c r="K510" s="1" t="s">
        <v>26</v>
      </c>
      <c r="L510" s="1" t="s">
        <v>957</v>
      </c>
      <c r="M510" s="1" t="s">
        <v>47</v>
      </c>
      <c r="N510" s="5">
        <v>69.3</v>
      </c>
      <c r="O510" s="27">
        <v>9</v>
      </c>
      <c r="P510" s="5">
        <v>22.868999999999996</v>
      </c>
      <c r="Q510" s="5">
        <v>7.7</v>
      </c>
    </row>
    <row r="511" spans="1:17" ht="13.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3.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</sheetData>
  <conditionalFormatting sqref="B6:C8">
    <cfRule type="expression" dxfId="22" priority="2" stopIfTrue="1">
      <formula>#REF!="x"</formula>
    </cfRule>
  </conditionalFormatting>
  <conditionalFormatting sqref="B1:C5">
    <cfRule type="expression" dxfId="21" priority="1" stopIfTrue="1">
      <formula>$A1="x"</formula>
    </cfRule>
  </conditionalFormatting>
  <printOptions gridLines="1"/>
  <pageMargins left="0.70866141732283516" right="0.70866141732283516" top="0.74803149606299213" bottom="0.74803149606299213" header="0.31496062992126012" footer="0.31496062992126012"/>
  <pageSetup paperSize="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Z34"/>
  <sheetViews>
    <sheetView topLeftCell="C1" workbookViewId="0">
      <selection activeCell="W17" sqref="W17"/>
    </sheetView>
  </sheetViews>
  <sheetFormatPr defaultColWidth="8" defaultRowHeight="14.4"/>
  <cols>
    <col min="1" max="1" width="16.69921875" style="14" customWidth="1"/>
    <col min="2" max="2" width="16" style="14" customWidth="1"/>
    <col min="3" max="3" width="8.69921875" style="14" bestFit="1" customWidth="1"/>
    <col min="4" max="4" width="12" style="14" customWidth="1"/>
    <col min="5" max="5" width="19.3984375" style="14" bestFit="1" customWidth="1"/>
    <col min="6" max="6" width="8.8984375" style="14" bestFit="1" customWidth="1"/>
    <col min="7" max="7" width="8.8984375" style="15" customWidth="1"/>
    <col min="8" max="8" width="14" style="14" customWidth="1"/>
    <col min="9" max="9" width="7.59765625" style="17" bestFit="1" customWidth="1"/>
    <col min="10" max="10" width="10.19921875" style="17" customWidth="1"/>
    <col min="11" max="11" width="10.8984375" style="18" customWidth="1"/>
    <col min="12" max="12" width="29.19921875" style="14" customWidth="1"/>
    <col min="13" max="13" width="20.09765625" style="14" customWidth="1"/>
    <col min="14" max="14" width="17.8984375" style="19" customWidth="1"/>
    <col min="15" max="15" width="8.69921875" customWidth="1"/>
    <col min="16" max="16" width="8" style="14" customWidth="1"/>
    <col min="17" max="17" width="15.296875" style="14" customWidth="1"/>
    <col min="18" max="19" width="8" style="14"/>
    <col min="20" max="20" width="15.69921875" style="14" bestFit="1" customWidth="1"/>
    <col min="21" max="21" width="15.5" style="14" bestFit="1" customWidth="1"/>
    <col min="22" max="22" width="22.19921875" style="14" bestFit="1" customWidth="1"/>
    <col min="23" max="23" width="13.69921875" style="14" bestFit="1" customWidth="1"/>
    <col min="24" max="24" width="22.19921875" style="14" bestFit="1" customWidth="1"/>
    <col min="25" max="25" width="14.09765625" style="14" bestFit="1" customWidth="1"/>
    <col min="26" max="26" width="28.796875" style="14" bestFit="1" customWidth="1"/>
    <col min="27" max="16384" width="8" style="14"/>
  </cols>
  <sheetData>
    <row r="1" spans="1:26" s="13" customFormat="1" ht="29.1" customHeight="1">
      <c r="A1" s="10" t="s">
        <v>958</v>
      </c>
      <c r="B1" s="10" t="s">
        <v>959</v>
      </c>
      <c r="C1" s="10" t="s">
        <v>960</v>
      </c>
      <c r="D1" s="10" t="s">
        <v>961</v>
      </c>
      <c r="E1" s="10" t="s">
        <v>962</v>
      </c>
      <c r="F1" s="10" t="s">
        <v>963</v>
      </c>
      <c r="G1" s="11" t="s">
        <v>964</v>
      </c>
      <c r="H1" s="10" t="s">
        <v>965</v>
      </c>
      <c r="I1" s="12" t="s">
        <v>966</v>
      </c>
      <c r="J1" s="12" t="s">
        <v>967</v>
      </c>
      <c r="K1" s="10" t="s">
        <v>968</v>
      </c>
      <c r="L1" s="10" t="s">
        <v>969</v>
      </c>
      <c r="M1" s="10" t="s">
        <v>970</v>
      </c>
      <c r="N1" s="10" t="s">
        <v>971</v>
      </c>
      <c r="O1" s="10" t="s">
        <v>1169</v>
      </c>
      <c r="P1" s="10" t="s">
        <v>1170</v>
      </c>
      <c r="Q1" s="10" t="s">
        <v>1171</v>
      </c>
    </row>
    <row r="2" spans="1:26" ht="13.5" customHeight="1">
      <c r="A2" s="14">
        <v>1139</v>
      </c>
      <c r="B2" s="14" t="s">
        <v>972</v>
      </c>
      <c r="C2" s="14" t="s">
        <v>973</v>
      </c>
      <c r="D2" s="14" t="s">
        <v>974</v>
      </c>
      <c r="E2" s="14" t="s">
        <v>975</v>
      </c>
      <c r="F2" s="14">
        <v>1732377271</v>
      </c>
      <c r="G2" s="15">
        <v>6381.3</v>
      </c>
      <c r="H2" s="16">
        <v>0.23</v>
      </c>
      <c r="I2" s="17">
        <v>1467.6990000000001</v>
      </c>
      <c r="J2" s="17">
        <v>7849</v>
      </c>
      <c r="K2" s="18" t="s">
        <v>976</v>
      </c>
      <c r="L2" s="19">
        <v>45658</v>
      </c>
      <c r="M2" s="19">
        <f t="shared" ref="M2:M34" si="0">L2+14</f>
        <v>45672</v>
      </c>
      <c r="N2" s="19">
        <v>45685</v>
      </c>
      <c r="O2" t="str">
        <f>TEXT(Tabela1[[#This Row],[DATA WYSTAWIENIA FAKTURY]], "MMMM")</f>
        <v>styczeń</v>
      </c>
      <c r="P2" s="14">
        <f>YEAR(Tabela1[[#This Row],[DATA WYSTAWIENIA FAKTURY]])</f>
        <v>2025</v>
      </c>
      <c r="Q2" s="14" t="str">
        <f>IF(ISBLANK(Tabela1[[#This Row],[DATA PŁATNOŚCI]]),"Bez daty płatności","Z datą płatności")</f>
        <v>Z datą płatności</v>
      </c>
    </row>
    <row r="3" spans="1:26" ht="13.5" customHeight="1">
      <c r="A3" s="14">
        <v>1148</v>
      </c>
      <c r="B3" s="14" t="s">
        <v>977</v>
      </c>
      <c r="C3" s="14" t="s">
        <v>978</v>
      </c>
      <c r="D3" s="14" t="s">
        <v>979</v>
      </c>
      <c r="E3" s="14" t="s">
        <v>980</v>
      </c>
      <c r="F3" s="14">
        <v>6428942303</v>
      </c>
      <c r="G3" s="15">
        <v>10089.43</v>
      </c>
      <c r="H3" s="16">
        <v>0.23</v>
      </c>
      <c r="I3" s="17">
        <v>2320.5689000000002</v>
      </c>
      <c r="J3" s="17">
        <v>12410</v>
      </c>
      <c r="K3" s="18" t="s">
        <v>981</v>
      </c>
      <c r="L3" s="19">
        <v>45658</v>
      </c>
      <c r="M3" s="19">
        <f t="shared" si="0"/>
        <v>45672</v>
      </c>
      <c r="N3" s="19">
        <v>45663</v>
      </c>
      <c r="O3" t="str">
        <f>TEXT(Tabela1[[#This Row],[DATA WYSTAWIENIA FAKTURY]], "MMMM")</f>
        <v>styczeń</v>
      </c>
      <c r="P3" s="14">
        <f>YEAR(Tabela1[[#This Row],[DATA WYSTAWIENIA FAKTURY]])</f>
        <v>2025</v>
      </c>
      <c r="Q3" s="14" t="str">
        <f>IF(ISBLANK(Tabela1[[#This Row],[DATA PŁATNOŚCI]]),"Bez daty płatności","Z datą płatności")</f>
        <v>Z datą płatności</v>
      </c>
    </row>
    <row r="4" spans="1:26" ht="13.5" customHeight="1">
      <c r="A4" s="14">
        <v>1163</v>
      </c>
      <c r="B4" s="14" t="s">
        <v>982</v>
      </c>
      <c r="C4" s="14" t="s">
        <v>983</v>
      </c>
      <c r="D4" s="14" t="s">
        <v>984</v>
      </c>
      <c r="E4" s="14" t="s">
        <v>985</v>
      </c>
      <c r="F4" s="14">
        <v>6854087252</v>
      </c>
      <c r="G4" s="15">
        <v>7517.07</v>
      </c>
      <c r="H4" s="16">
        <v>0.23</v>
      </c>
      <c r="I4" s="17">
        <v>1728.9260999999999</v>
      </c>
      <c r="J4" s="17">
        <v>9246</v>
      </c>
      <c r="K4" s="18" t="s">
        <v>986</v>
      </c>
      <c r="L4" s="19">
        <v>45659</v>
      </c>
      <c r="M4" s="19">
        <f t="shared" si="0"/>
        <v>45673</v>
      </c>
      <c r="N4" s="19">
        <v>45686</v>
      </c>
      <c r="O4" t="str">
        <f>TEXT(Tabela1[[#This Row],[DATA WYSTAWIENIA FAKTURY]], "MMMM")</f>
        <v>styczeń</v>
      </c>
      <c r="P4" s="14">
        <f>YEAR(Tabela1[[#This Row],[DATA WYSTAWIENIA FAKTURY]])</f>
        <v>2025</v>
      </c>
      <c r="Q4" s="14" t="str">
        <f>IF(ISBLANK(Tabela1[[#This Row],[DATA PŁATNOŚCI]]),"Bez daty płatności","Z datą płatności")</f>
        <v>Z datą płatności</v>
      </c>
      <c r="T4" s="28"/>
      <c r="U4" s="32" t="s">
        <v>1174</v>
      </c>
      <c r="V4" s="29"/>
      <c r="W4" s="29"/>
      <c r="X4" s="29"/>
      <c r="Y4" s="29"/>
      <c r="Z4" s="30"/>
    </row>
    <row r="5" spans="1:26" ht="13.5" customHeight="1">
      <c r="A5" s="14">
        <v>1164</v>
      </c>
      <c r="B5" s="14" t="s">
        <v>987</v>
      </c>
      <c r="C5" s="14" t="s">
        <v>973</v>
      </c>
      <c r="D5" s="14" t="s">
        <v>988</v>
      </c>
      <c r="E5" s="14" t="s">
        <v>989</v>
      </c>
      <c r="F5" s="14">
        <v>5144668045</v>
      </c>
      <c r="G5" s="15">
        <v>8406.5</v>
      </c>
      <c r="H5" s="16">
        <v>0.23</v>
      </c>
      <c r="I5" s="17">
        <v>1933.4950000000001</v>
      </c>
      <c r="J5" s="17">
        <v>10340</v>
      </c>
      <c r="K5" s="18" t="s">
        <v>990</v>
      </c>
      <c r="L5" s="19">
        <v>45660</v>
      </c>
      <c r="M5" s="19">
        <f t="shared" si="0"/>
        <v>45674</v>
      </c>
      <c r="O5" t="str">
        <f>TEXT(Tabela1[[#This Row],[DATA WYSTAWIENIA FAKTURY]], "MMMM")</f>
        <v>styczeń</v>
      </c>
      <c r="P5" s="14">
        <f>YEAR(Tabela1[[#This Row],[DATA WYSTAWIENIA FAKTURY]])</f>
        <v>2025</v>
      </c>
      <c r="Q5" s="14" t="str">
        <f>IF(ISBLANK(Tabela1[[#This Row],[DATA PŁATNOŚCI]]),"Bez daty płatności","Z datą płatności")</f>
        <v>Bez daty płatności</v>
      </c>
      <c r="T5" s="31"/>
      <c r="U5" s="28" t="s">
        <v>1175</v>
      </c>
      <c r="V5" s="29"/>
      <c r="W5" s="28" t="s">
        <v>1176</v>
      </c>
      <c r="X5" s="29"/>
      <c r="Y5" s="28" t="s">
        <v>1179</v>
      </c>
      <c r="Z5" s="34" t="s">
        <v>1177</v>
      </c>
    </row>
    <row r="6" spans="1:26" ht="13.5" customHeight="1">
      <c r="A6" s="14">
        <v>1173</v>
      </c>
      <c r="B6" s="14" t="s">
        <v>991</v>
      </c>
      <c r="C6" s="14" t="s">
        <v>992</v>
      </c>
      <c r="D6" s="14" t="s">
        <v>993</v>
      </c>
      <c r="E6" s="14" t="s">
        <v>994</v>
      </c>
      <c r="F6" s="14">
        <v>8510260460</v>
      </c>
      <c r="G6" s="15">
        <v>11870.73</v>
      </c>
      <c r="H6" s="16">
        <v>0.23</v>
      </c>
      <c r="I6" s="17">
        <v>2730.2678999999998</v>
      </c>
      <c r="J6" s="17">
        <v>14601</v>
      </c>
      <c r="K6" s="18" t="s">
        <v>995</v>
      </c>
      <c r="L6" s="19">
        <v>45660</v>
      </c>
      <c r="M6" s="19">
        <f t="shared" si="0"/>
        <v>45674</v>
      </c>
      <c r="N6" s="19">
        <v>45675</v>
      </c>
      <c r="O6" t="str">
        <f>TEXT(Tabela1[[#This Row],[DATA WYSTAWIENIA FAKTURY]], "MMMM")</f>
        <v>styczeń</v>
      </c>
      <c r="P6" s="14">
        <f>YEAR(Tabela1[[#This Row],[DATA WYSTAWIENIA FAKTURY]])</f>
        <v>2025</v>
      </c>
      <c r="Q6" s="14" t="str">
        <f>IF(ISBLANK(Tabela1[[#This Row],[DATA PŁATNOŚCI]]),"Bez daty płatności","Z datą płatności")</f>
        <v>Z datą płatności</v>
      </c>
      <c r="T6" s="32" t="s">
        <v>1172</v>
      </c>
      <c r="U6" s="28" t="s">
        <v>1180</v>
      </c>
      <c r="V6" s="33" t="s">
        <v>1178</v>
      </c>
      <c r="W6" s="28" t="s">
        <v>1180</v>
      </c>
      <c r="X6" s="33" t="s">
        <v>1178</v>
      </c>
      <c r="Y6" s="31"/>
      <c r="Z6" s="43"/>
    </row>
    <row r="7" spans="1:26" ht="13.5" customHeight="1">
      <c r="A7" s="14">
        <v>1182</v>
      </c>
      <c r="B7" s="14" t="s">
        <v>996</v>
      </c>
      <c r="C7" s="14" t="s">
        <v>973</v>
      </c>
      <c r="D7" s="14" t="s">
        <v>997</v>
      </c>
      <c r="E7" s="14" t="s">
        <v>998</v>
      </c>
      <c r="F7" s="14">
        <v>7842451528</v>
      </c>
      <c r="G7" s="15">
        <v>6654.47</v>
      </c>
      <c r="H7" s="16">
        <v>0.23</v>
      </c>
      <c r="I7" s="17">
        <v>1530.5281000000002</v>
      </c>
      <c r="J7" s="17">
        <v>8185</v>
      </c>
      <c r="K7" s="18" t="s">
        <v>999</v>
      </c>
      <c r="L7" s="19">
        <v>45660</v>
      </c>
      <c r="M7" s="19">
        <f t="shared" si="0"/>
        <v>45674</v>
      </c>
      <c r="N7" s="19">
        <v>45673</v>
      </c>
      <c r="O7" t="str">
        <f>TEXT(Tabela1[[#This Row],[DATA WYSTAWIENIA FAKTURY]], "MMMM")</f>
        <v>styczeń</v>
      </c>
      <c r="P7" s="14">
        <f>YEAR(Tabela1[[#This Row],[DATA WYSTAWIENIA FAKTURY]])</f>
        <v>2025</v>
      </c>
      <c r="Q7" s="14" t="str">
        <f>IF(ISBLANK(Tabela1[[#This Row],[DATA PŁATNOŚCI]]),"Bez daty płatności","Z datą płatności")</f>
        <v>Z datą płatności</v>
      </c>
      <c r="T7" s="35">
        <v>2025</v>
      </c>
      <c r="U7" s="37">
        <v>81465.86</v>
      </c>
      <c r="V7" s="38">
        <v>9</v>
      </c>
      <c r="W7" s="37">
        <v>189103.26000000004</v>
      </c>
      <c r="X7" s="38">
        <v>24</v>
      </c>
      <c r="Y7" s="37">
        <v>270569.12</v>
      </c>
      <c r="Z7" s="39">
        <v>33</v>
      </c>
    </row>
    <row r="8" spans="1:26" ht="13.5" customHeight="1">
      <c r="A8" s="14">
        <v>1187</v>
      </c>
      <c r="B8" s="14" t="s">
        <v>1000</v>
      </c>
      <c r="C8" s="14" t="s">
        <v>1001</v>
      </c>
      <c r="D8" s="14" t="s">
        <v>1002</v>
      </c>
      <c r="E8" s="14" t="s">
        <v>1003</v>
      </c>
      <c r="F8" s="14">
        <v>4257365937</v>
      </c>
      <c r="G8" s="15">
        <v>4456.91</v>
      </c>
      <c r="H8" s="16">
        <v>0.23</v>
      </c>
      <c r="I8" s="17">
        <v>1025.0893000000001</v>
      </c>
      <c r="J8" s="17">
        <v>5482</v>
      </c>
      <c r="K8" s="18" t="s">
        <v>1004</v>
      </c>
      <c r="L8" s="19">
        <v>45661</v>
      </c>
      <c r="M8" s="19">
        <f t="shared" si="0"/>
        <v>45675</v>
      </c>
      <c r="N8" s="19">
        <v>45664</v>
      </c>
      <c r="O8" t="str">
        <f>TEXT(Tabela1[[#This Row],[DATA WYSTAWIENIA FAKTURY]], "MMMM")</f>
        <v>styczeń</v>
      </c>
      <c r="P8" s="14">
        <f>YEAR(Tabela1[[#This Row],[DATA WYSTAWIENIA FAKTURY]])</f>
        <v>2025</v>
      </c>
      <c r="Q8" s="14" t="str">
        <f>IF(ISBLANK(Tabela1[[#This Row],[DATA PŁATNOŚCI]]),"Bez daty płatności","Z datą płatności")</f>
        <v>Z datą płatności</v>
      </c>
      <c r="T8" s="36" t="s">
        <v>1173</v>
      </c>
      <c r="U8" s="40">
        <v>81465.86</v>
      </c>
      <c r="V8" s="41">
        <v>9</v>
      </c>
      <c r="W8" s="40">
        <v>189103.26000000004</v>
      </c>
      <c r="X8" s="41">
        <v>24</v>
      </c>
      <c r="Y8" s="40">
        <v>270569.12</v>
      </c>
      <c r="Z8" s="42">
        <v>33</v>
      </c>
    </row>
    <row r="9" spans="1:26" ht="13.5" customHeight="1">
      <c r="A9" s="14">
        <v>1191</v>
      </c>
      <c r="B9" s="14" t="s">
        <v>1005</v>
      </c>
      <c r="C9" s="14" t="s">
        <v>1006</v>
      </c>
      <c r="D9" s="14" t="s">
        <v>1007</v>
      </c>
      <c r="E9" s="14" t="s">
        <v>1008</v>
      </c>
      <c r="F9" s="14">
        <v>4341594652</v>
      </c>
      <c r="G9" s="15">
        <v>9740.65</v>
      </c>
      <c r="H9" s="16">
        <v>0.23</v>
      </c>
      <c r="I9" s="17">
        <v>2240.3494999999998</v>
      </c>
      <c r="J9" s="17">
        <v>11981</v>
      </c>
      <c r="K9" s="18" t="s">
        <v>1009</v>
      </c>
      <c r="L9" s="19">
        <v>45662</v>
      </c>
      <c r="M9" s="19">
        <f t="shared" si="0"/>
        <v>45676</v>
      </c>
      <c r="O9" t="str">
        <f>TEXT(Tabela1[[#This Row],[DATA WYSTAWIENIA FAKTURY]], "MMMM")</f>
        <v>styczeń</v>
      </c>
      <c r="P9" s="14">
        <f>YEAR(Tabela1[[#This Row],[DATA WYSTAWIENIA FAKTURY]])</f>
        <v>2025</v>
      </c>
      <c r="Q9" s="14" t="str">
        <f>IF(ISBLANK(Tabela1[[#This Row],[DATA PŁATNOŚCI]]),"Bez daty płatności","Z datą płatności")</f>
        <v>Bez daty płatności</v>
      </c>
      <c r="T9"/>
      <c r="U9"/>
      <c r="V9"/>
      <c r="W9"/>
      <c r="X9"/>
      <c r="Y9"/>
      <c r="Z9"/>
    </row>
    <row r="10" spans="1:26" ht="13.5" customHeight="1">
      <c r="A10" s="14">
        <v>1211</v>
      </c>
      <c r="B10" s="14" t="s">
        <v>1010</v>
      </c>
      <c r="C10" s="14" t="s">
        <v>1011</v>
      </c>
      <c r="D10" s="14" t="s">
        <v>1012</v>
      </c>
      <c r="E10" s="14" t="s">
        <v>1013</v>
      </c>
      <c r="F10" s="14">
        <v>7430048616</v>
      </c>
      <c r="G10" s="15">
        <v>5408.13</v>
      </c>
      <c r="H10" s="16">
        <v>0.23</v>
      </c>
      <c r="I10" s="17">
        <v>1243.8699000000001</v>
      </c>
      <c r="J10" s="17">
        <v>6652</v>
      </c>
      <c r="K10" s="18" t="s">
        <v>1014</v>
      </c>
      <c r="L10" s="19">
        <v>45663</v>
      </c>
      <c r="M10" s="19">
        <f t="shared" si="0"/>
        <v>45677</v>
      </c>
      <c r="N10" s="19">
        <v>45688</v>
      </c>
      <c r="O10" t="str">
        <f>TEXT(Tabela1[[#This Row],[DATA WYSTAWIENIA FAKTURY]], "MMMM")</f>
        <v>styczeń</v>
      </c>
      <c r="P10" s="14">
        <f>YEAR(Tabela1[[#This Row],[DATA WYSTAWIENIA FAKTURY]])</f>
        <v>2025</v>
      </c>
      <c r="Q10" s="14" t="str">
        <f>IF(ISBLANK(Tabela1[[#This Row],[DATA PŁATNOŚCI]]),"Bez daty płatności","Z datą płatności")</f>
        <v>Z datą płatności</v>
      </c>
      <c r="T10"/>
      <c r="U10"/>
      <c r="V10"/>
    </row>
    <row r="11" spans="1:26" ht="13.5" customHeight="1">
      <c r="A11" s="14">
        <v>1212</v>
      </c>
      <c r="B11" s="14" t="s">
        <v>1015</v>
      </c>
      <c r="C11" s="14" t="s">
        <v>1016</v>
      </c>
      <c r="D11" s="14" t="s">
        <v>1017</v>
      </c>
      <c r="E11" s="14" t="s">
        <v>1018</v>
      </c>
      <c r="F11" s="14">
        <v>9623168584</v>
      </c>
      <c r="G11" s="15">
        <v>10691.06</v>
      </c>
      <c r="H11" s="16">
        <v>0.23</v>
      </c>
      <c r="I11" s="17">
        <v>2458.9438</v>
      </c>
      <c r="J11" s="17">
        <v>13150</v>
      </c>
      <c r="K11" s="18" t="s">
        <v>1019</v>
      </c>
      <c r="L11" s="19">
        <v>45664</v>
      </c>
      <c r="M11" s="19">
        <f t="shared" si="0"/>
        <v>45678</v>
      </c>
      <c r="N11" s="19">
        <v>45686</v>
      </c>
      <c r="O11" t="str">
        <f>TEXT(Tabela1[[#This Row],[DATA WYSTAWIENIA FAKTURY]], "MMMM")</f>
        <v>styczeń</v>
      </c>
      <c r="P11" s="14">
        <f>YEAR(Tabela1[[#This Row],[DATA WYSTAWIENIA FAKTURY]])</f>
        <v>2025</v>
      </c>
      <c r="Q11" s="14" t="str">
        <f>IF(ISBLANK(Tabela1[[#This Row],[DATA PŁATNOŚCI]]),"Bez daty płatności","Z datą płatności")</f>
        <v>Z datą płatności</v>
      </c>
      <c r="T11"/>
      <c r="U11"/>
      <c r="V11"/>
    </row>
    <row r="12" spans="1:26" ht="13.5" customHeight="1">
      <c r="A12" s="14">
        <v>1215</v>
      </c>
      <c r="B12" s="14" t="s">
        <v>1020</v>
      </c>
      <c r="C12" s="14" t="s">
        <v>1021</v>
      </c>
      <c r="D12" s="14" t="s">
        <v>1022</v>
      </c>
      <c r="E12" s="14" t="s">
        <v>1023</v>
      </c>
      <c r="F12" s="14">
        <v>5180778197</v>
      </c>
      <c r="G12" s="15">
        <v>8160.98</v>
      </c>
      <c r="H12" s="16">
        <v>0.23</v>
      </c>
      <c r="I12" s="17">
        <v>1877.0254</v>
      </c>
      <c r="J12" s="17">
        <v>10038</v>
      </c>
      <c r="K12" s="18" t="s">
        <v>1024</v>
      </c>
      <c r="L12" s="19">
        <v>45665</v>
      </c>
      <c r="M12" s="19">
        <f t="shared" si="0"/>
        <v>45679</v>
      </c>
      <c r="O12" t="str">
        <f>TEXT(Tabela1[[#This Row],[DATA WYSTAWIENIA FAKTURY]], "MMMM")</f>
        <v>styczeń</v>
      </c>
      <c r="P12" s="14">
        <f>YEAR(Tabela1[[#This Row],[DATA WYSTAWIENIA FAKTURY]])</f>
        <v>2025</v>
      </c>
      <c r="Q12" s="14" t="str">
        <f>IF(ISBLANK(Tabela1[[#This Row],[DATA PŁATNOŚCI]]),"Bez daty płatności","Z datą płatności")</f>
        <v>Bez daty płatności</v>
      </c>
      <c r="T12"/>
      <c r="U12"/>
      <c r="V12"/>
    </row>
    <row r="13" spans="1:26" ht="13.5" customHeight="1">
      <c r="A13" s="14">
        <v>1217</v>
      </c>
      <c r="B13" s="14" t="s">
        <v>1025</v>
      </c>
      <c r="C13" s="14" t="s">
        <v>973</v>
      </c>
      <c r="D13" s="14" t="s">
        <v>1026</v>
      </c>
      <c r="E13" s="14" t="s">
        <v>1027</v>
      </c>
      <c r="F13" s="14">
        <v>5662257723</v>
      </c>
      <c r="G13" s="15">
        <v>7012.2</v>
      </c>
      <c r="H13" s="16">
        <v>0.23</v>
      </c>
      <c r="I13" s="17">
        <v>1612.806</v>
      </c>
      <c r="J13" s="17">
        <v>8625</v>
      </c>
      <c r="K13" s="18" t="s">
        <v>1028</v>
      </c>
      <c r="L13" s="19">
        <v>45666</v>
      </c>
      <c r="M13" s="19">
        <f t="shared" si="0"/>
        <v>45680</v>
      </c>
      <c r="N13" s="19">
        <v>45678</v>
      </c>
      <c r="O13" t="str">
        <f>TEXT(Tabela1[[#This Row],[DATA WYSTAWIENIA FAKTURY]], "MMMM")</f>
        <v>styczeń</v>
      </c>
      <c r="P13" s="14">
        <f>YEAR(Tabela1[[#This Row],[DATA WYSTAWIENIA FAKTURY]])</f>
        <v>2025</v>
      </c>
      <c r="Q13" s="14" t="str">
        <f>IF(ISBLANK(Tabela1[[#This Row],[DATA PŁATNOŚCI]]),"Bez daty płatności","Z datą płatności")</f>
        <v>Z datą płatności</v>
      </c>
      <c r="T13"/>
      <c r="U13"/>
      <c r="V13"/>
    </row>
    <row r="14" spans="1:26" ht="13.5" customHeight="1">
      <c r="A14" s="14">
        <v>1218</v>
      </c>
      <c r="B14" s="14" t="s">
        <v>1029</v>
      </c>
      <c r="C14" s="14" t="s">
        <v>1030</v>
      </c>
      <c r="D14" s="14" t="s">
        <v>1031</v>
      </c>
      <c r="E14" s="14" t="s">
        <v>1032</v>
      </c>
      <c r="F14" s="14">
        <v>2817594142</v>
      </c>
      <c r="G14" s="15">
        <v>6104.07</v>
      </c>
      <c r="H14" s="16">
        <v>0.23</v>
      </c>
      <c r="I14" s="17">
        <v>1403.9360999999999</v>
      </c>
      <c r="J14" s="17">
        <v>7508</v>
      </c>
      <c r="K14" s="18" t="s">
        <v>1033</v>
      </c>
      <c r="L14" s="19">
        <v>45667</v>
      </c>
      <c r="M14" s="19">
        <f t="shared" si="0"/>
        <v>45681</v>
      </c>
      <c r="N14" s="19">
        <v>45684</v>
      </c>
      <c r="O14" t="str">
        <f>TEXT(Tabela1[[#This Row],[DATA WYSTAWIENIA FAKTURY]], "MMMM")</f>
        <v>styczeń</v>
      </c>
      <c r="P14" s="14">
        <f>YEAR(Tabela1[[#This Row],[DATA WYSTAWIENIA FAKTURY]])</f>
        <v>2025</v>
      </c>
      <c r="Q14" s="14" t="str">
        <f>IF(ISBLANK(Tabela1[[#This Row],[DATA PŁATNOŚCI]]),"Bez daty płatności","Z datą płatności")</f>
        <v>Z datą płatności</v>
      </c>
      <c r="T14"/>
      <c r="U14"/>
      <c r="V14"/>
    </row>
    <row r="15" spans="1:26" ht="13.5" customHeight="1">
      <c r="A15" s="14">
        <v>1222</v>
      </c>
      <c r="B15" s="14" t="s">
        <v>1034</v>
      </c>
      <c r="C15" s="14" t="s">
        <v>1035</v>
      </c>
      <c r="D15" s="14" t="s">
        <v>1036</v>
      </c>
      <c r="E15" s="14" t="s">
        <v>1037</v>
      </c>
      <c r="F15" s="14">
        <v>4213025457</v>
      </c>
      <c r="G15" s="15">
        <v>11676.42</v>
      </c>
      <c r="H15" s="16">
        <v>0.23</v>
      </c>
      <c r="I15" s="17">
        <v>2685.5766000000003</v>
      </c>
      <c r="J15" s="17">
        <v>14362</v>
      </c>
      <c r="K15" s="18" t="s">
        <v>1038</v>
      </c>
      <c r="L15" s="19">
        <v>45668</v>
      </c>
      <c r="M15" s="19">
        <f t="shared" si="0"/>
        <v>45682</v>
      </c>
      <c r="O15" t="str">
        <f>TEXT(Tabela1[[#This Row],[DATA WYSTAWIENIA FAKTURY]], "MMMM")</f>
        <v>styczeń</v>
      </c>
      <c r="P15" s="14">
        <f>YEAR(Tabela1[[#This Row],[DATA WYSTAWIENIA FAKTURY]])</f>
        <v>2025</v>
      </c>
      <c r="Q15" s="14" t="str">
        <f>IF(ISBLANK(Tabela1[[#This Row],[DATA PŁATNOŚCI]]),"Bez daty płatności","Z datą płatności")</f>
        <v>Bez daty płatności</v>
      </c>
      <c r="T15"/>
      <c r="U15"/>
      <c r="V15"/>
    </row>
    <row r="16" spans="1:26" ht="13.5" customHeight="1">
      <c r="A16" s="14">
        <v>1223</v>
      </c>
      <c r="B16" s="14" t="s">
        <v>1039</v>
      </c>
      <c r="C16" s="14" t="s">
        <v>1040</v>
      </c>
      <c r="D16" s="14" t="s">
        <v>1041</v>
      </c>
      <c r="E16" s="14" t="s">
        <v>1042</v>
      </c>
      <c r="F16" s="14">
        <v>6912807847</v>
      </c>
      <c r="G16" s="15">
        <v>12043.09</v>
      </c>
      <c r="H16" s="16">
        <v>0.23</v>
      </c>
      <c r="I16" s="17">
        <v>2769.9107000000004</v>
      </c>
      <c r="J16" s="17">
        <v>14813</v>
      </c>
      <c r="K16" s="18" t="s">
        <v>1043</v>
      </c>
      <c r="L16" s="19">
        <v>45669</v>
      </c>
      <c r="M16" s="19">
        <f t="shared" si="0"/>
        <v>45683</v>
      </c>
      <c r="N16" s="19">
        <v>45696</v>
      </c>
      <c r="O16" t="str">
        <f>TEXT(Tabela1[[#This Row],[DATA WYSTAWIENIA FAKTURY]], "MMMM")</f>
        <v>styczeń</v>
      </c>
      <c r="P16" s="14">
        <f>YEAR(Tabela1[[#This Row],[DATA WYSTAWIENIA FAKTURY]])</f>
        <v>2025</v>
      </c>
      <c r="Q16" s="14" t="str">
        <f>IF(ISBLANK(Tabela1[[#This Row],[DATA PŁATNOŚCI]]),"Bez daty płatności","Z datą płatności")</f>
        <v>Z datą płatności</v>
      </c>
      <c r="T16"/>
      <c r="U16"/>
      <c r="V16"/>
    </row>
    <row r="17" spans="1:22" ht="13.5" customHeight="1">
      <c r="A17" s="14">
        <v>1240</v>
      </c>
      <c r="B17" s="14" t="s">
        <v>1044</v>
      </c>
      <c r="C17" s="14" t="s">
        <v>1045</v>
      </c>
      <c r="D17" s="14" t="s">
        <v>1046</v>
      </c>
      <c r="E17" s="14" t="s">
        <v>1047</v>
      </c>
      <c r="F17" s="14">
        <v>1661408649</v>
      </c>
      <c r="G17" s="15">
        <v>12129.27</v>
      </c>
      <c r="H17" s="16">
        <v>0.23</v>
      </c>
      <c r="I17" s="17">
        <v>2789.7321000000002</v>
      </c>
      <c r="J17" s="17">
        <v>14919</v>
      </c>
      <c r="K17" s="18" t="s">
        <v>1048</v>
      </c>
      <c r="L17" s="19">
        <v>45670</v>
      </c>
      <c r="M17" s="19">
        <f t="shared" si="0"/>
        <v>45684</v>
      </c>
      <c r="N17" s="19">
        <v>45699</v>
      </c>
      <c r="O17" t="str">
        <f>TEXT(Tabela1[[#This Row],[DATA WYSTAWIENIA FAKTURY]], "MMMM")</f>
        <v>styczeń</v>
      </c>
      <c r="P17" s="14">
        <f>YEAR(Tabela1[[#This Row],[DATA WYSTAWIENIA FAKTURY]])</f>
        <v>2025</v>
      </c>
      <c r="Q17" s="14" t="str">
        <f>IF(ISBLANK(Tabela1[[#This Row],[DATA PŁATNOŚCI]]),"Bez daty płatności","Z datą płatności")</f>
        <v>Z datą płatności</v>
      </c>
      <c r="T17"/>
      <c r="U17"/>
      <c r="V17"/>
    </row>
    <row r="18" spans="1:22" ht="13.5" customHeight="1">
      <c r="A18" s="14">
        <v>1241</v>
      </c>
      <c r="B18" s="14" t="s">
        <v>1049</v>
      </c>
      <c r="C18" s="14" t="s">
        <v>1050</v>
      </c>
      <c r="D18" s="14" t="s">
        <v>1051</v>
      </c>
      <c r="E18" s="14" t="s">
        <v>1052</v>
      </c>
      <c r="F18" s="14">
        <v>3341901817</v>
      </c>
      <c r="G18" s="15">
        <v>4304.07</v>
      </c>
      <c r="H18" s="16">
        <v>0.23</v>
      </c>
      <c r="I18" s="17">
        <v>989.93610000000001</v>
      </c>
      <c r="J18" s="17">
        <v>5294</v>
      </c>
      <c r="K18" s="18" t="s">
        <v>1053</v>
      </c>
      <c r="L18" s="19">
        <v>45671</v>
      </c>
      <c r="M18" s="19">
        <f t="shared" si="0"/>
        <v>45685</v>
      </c>
      <c r="N18" s="19">
        <v>45673</v>
      </c>
      <c r="O18" t="str">
        <f>TEXT(Tabela1[[#This Row],[DATA WYSTAWIENIA FAKTURY]], "MMMM")</f>
        <v>styczeń</v>
      </c>
      <c r="P18" s="14">
        <f>YEAR(Tabela1[[#This Row],[DATA WYSTAWIENIA FAKTURY]])</f>
        <v>2025</v>
      </c>
      <c r="Q18" s="14" t="str">
        <f>IF(ISBLANK(Tabela1[[#This Row],[DATA PŁATNOŚCI]]),"Bez daty płatności","Z datą płatności")</f>
        <v>Z datą płatności</v>
      </c>
      <c r="T18"/>
      <c r="U18"/>
      <c r="V18"/>
    </row>
    <row r="19" spans="1:22" ht="13.5" customHeight="1">
      <c r="A19" s="14">
        <v>1246</v>
      </c>
      <c r="B19" s="14" t="s">
        <v>1054</v>
      </c>
      <c r="C19" s="14" t="s">
        <v>1055</v>
      </c>
      <c r="D19" s="14" t="s">
        <v>1056</v>
      </c>
      <c r="E19" s="14" t="s">
        <v>1057</v>
      </c>
      <c r="F19" s="14">
        <v>9435127072</v>
      </c>
      <c r="G19" s="15">
        <v>4972.3599999999997</v>
      </c>
      <c r="H19" s="16">
        <v>0.23</v>
      </c>
      <c r="I19" s="17">
        <v>1143.6428000000001</v>
      </c>
      <c r="J19" s="17">
        <v>6116</v>
      </c>
      <c r="K19" s="18" t="s">
        <v>1058</v>
      </c>
      <c r="L19" s="19">
        <v>45672</v>
      </c>
      <c r="M19" s="19">
        <f t="shared" si="0"/>
        <v>45686</v>
      </c>
      <c r="N19" s="19">
        <v>45674</v>
      </c>
      <c r="O19" t="str">
        <f>TEXT(Tabela1[[#This Row],[DATA WYSTAWIENIA FAKTURY]], "MMMM")</f>
        <v>styczeń</v>
      </c>
      <c r="P19" s="14">
        <f>YEAR(Tabela1[[#This Row],[DATA WYSTAWIENIA FAKTURY]])</f>
        <v>2025</v>
      </c>
      <c r="Q19" s="14" t="str">
        <f>IF(ISBLANK(Tabela1[[#This Row],[DATA PŁATNOŚCI]]),"Bez daty płatności","Z datą płatności")</f>
        <v>Z datą płatności</v>
      </c>
      <c r="T19"/>
      <c r="U19"/>
      <c r="V19"/>
    </row>
    <row r="20" spans="1:22" ht="13.5" customHeight="1">
      <c r="A20" s="14">
        <v>1250</v>
      </c>
      <c r="B20" s="14" t="s">
        <v>1059</v>
      </c>
      <c r="C20" s="14" t="s">
        <v>1060</v>
      </c>
      <c r="D20" s="14" t="s">
        <v>1061</v>
      </c>
      <c r="E20" s="14" t="s">
        <v>1062</v>
      </c>
      <c r="F20" s="14">
        <v>1954168384</v>
      </c>
      <c r="G20" s="15">
        <v>7592.68</v>
      </c>
      <c r="H20" s="16">
        <v>0.23</v>
      </c>
      <c r="I20" s="17">
        <v>1746.3164000000002</v>
      </c>
      <c r="J20" s="17">
        <v>9339</v>
      </c>
      <c r="K20" s="18" t="s">
        <v>1063</v>
      </c>
      <c r="L20" s="19">
        <v>45673</v>
      </c>
      <c r="M20" s="19">
        <f t="shared" si="0"/>
        <v>45687</v>
      </c>
      <c r="N20" s="19">
        <v>45677</v>
      </c>
      <c r="O20" t="str">
        <f>TEXT(Tabela1[[#This Row],[DATA WYSTAWIENIA FAKTURY]], "MMMM")</f>
        <v>styczeń</v>
      </c>
      <c r="P20" s="14">
        <f>YEAR(Tabela1[[#This Row],[DATA WYSTAWIENIA FAKTURY]])</f>
        <v>2025</v>
      </c>
      <c r="Q20" s="14" t="str">
        <f>IF(ISBLANK(Tabela1[[#This Row],[DATA PŁATNOŚCI]]),"Bez daty płatności","Z datą płatności")</f>
        <v>Z datą płatności</v>
      </c>
      <c r="T20"/>
      <c r="U20"/>
      <c r="V20"/>
    </row>
    <row r="21" spans="1:22" ht="13.5" customHeight="1">
      <c r="A21" s="14">
        <v>1262</v>
      </c>
      <c r="B21" s="14" t="s">
        <v>1064</v>
      </c>
      <c r="C21" s="14" t="s">
        <v>1065</v>
      </c>
      <c r="D21" s="14" t="s">
        <v>1066</v>
      </c>
      <c r="E21" s="14" t="s">
        <v>1067</v>
      </c>
      <c r="F21" s="14">
        <v>2994329983</v>
      </c>
      <c r="G21" s="15">
        <v>12180.49</v>
      </c>
      <c r="H21" s="16">
        <v>0.23</v>
      </c>
      <c r="I21" s="17">
        <v>2801.5127000000002</v>
      </c>
      <c r="J21" s="17">
        <v>14982</v>
      </c>
      <c r="K21" s="18" t="s">
        <v>1068</v>
      </c>
      <c r="L21" s="19">
        <v>45674</v>
      </c>
      <c r="M21" s="19">
        <f t="shared" si="0"/>
        <v>45688</v>
      </c>
      <c r="O21" t="str">
        <f>TEXT(Tabela1[[#This Row],[DATA WYSTAWIENIA FAKTURY]], "MMMM")</f>
        <v>styczeń</v>
      </c>
      <c r="P21" s="14">
        <f>YEAR(Tabela1[[#This Row],[DATA WYSTAWIENIA FAKTURY]])</f>
        <v>2025</v>
      </c>
      <c r="Q21" s="14" t="str">
        <f>IF(ISBLANK(Tabela1[[#This Row],[DATA PŁATNOŚCI]]),"Bez daty płatności","Z datą płatności")</f>
        <v>Bez daty płatności</v>
      </c>
      <c r="T21"/>
      <c r="U21"/>
      <c r="V21"/>
    </row>
    <row r="22" spans="1:22" ht="13.5" customHeight="1">
      <c r="A22" s="14">
        <v>1281</v>
      </c>
      <c r="B22" s="14" t="s">
        <v>1069</v>
      </c>
      <c r="C22" s="14" t="s">
        <v>1070</v>
      </c>
      <c r="D22" s="14" t="s">
        <v>1071</v>
      </c>
      <c r="E22" s="14" t="s">
        <v>1072</v>
      </c>
      <c r="F22" s="14">
        <v>4831129141</v>
      </c>
      <c r="G22" s="15">
        <v>8456.1</v>
      </c>
      <c r="H22" s="16">
        <v>0.23</v>
      </c>
      <c r="I22" s="17">
        <v>1944.9030000000002</v>
      </c>
      <c r="J22" s="17">
        <v>10401</v>
      </c>
      <c r="K22" s="18" t="s">
        <v>1073</v>
      </c>
      <c r="L22" s="19">
        <v>45675</v>
      </c>
      <c r="M22" s="19">
        <f t="shared" si="0"/>
        <v>45689</v>
      </c>
      <c r="N22" s="19">
        <v>45686</v>
      </c>
      <c r="O22" t="str">
        <f>TEXT(Tabela1[[#This Row],[DATA WYSTAWIENIA FAKTURY]], "MMMM")</f>
        <v>styczeń</v>
      </c>
      <c r="P22" s="14">
        <f>YEAR(Tabela1[[#This Row],[DATA WYSTAWIENIA FAKTURY]])</f>
        <v>2025</v>
      </c>
      <c r="Q22" s="14" t="str">
        <f>IF(ISBLANK(Tabela1[[#This Row],[DATA PŁATNOŚCI]]),"Bez daty płatności","Z datą płatności")</f>
        <v>Z datą płatności</v>
      </c>
    </row>
    <row r="23" spans="1:22" ht="13.5" customHeight="1">
      <c r="A23" s="14">
        <v>1297</v>
      </c>
      <c r="B23" s="14" t="s">
        <v>1074</v>
      </c>
      <c r="C23" s="14" t="s">
        <v>1021</v>
      </c>
      <c r="D23" s="14" t="s">
        <v>1075</v>
      </c>
      <c r="E23" s="14" t="s">
        <v>1076</v>
      </c>
      <c r="F23" s="14">
        <v>5632399654</v>
      </c>
      <c r="G23" s="15">
        <v>9917.07</v>
      </c>
      <c r="H23" s="16">
        <v>0.23</v>
      </c>
      <c r="I23" s="17">
        <v>2280.9261000000001</v>
      </c>
      <c r="J23" s="17">
        <v>12198</v>
      </c>
      <c r="K23" s="18" t="s">
        <v>1077</v>
      </c>
      <c r="L23" s="19">
        <v>45676</v>
      </c>
      <c r="M23" s="19">
        <f t="shared" si="0"/>
        <v>45690</v>
      </c>
      <c r="N23" s="19">
        <v>45679</v>
      </c>
      <c r="O23" t="str">
        <f>TEXT(Tabela1[[#This Row],[DATA WYSTAWIENIA FAKTURY]], "MMMM")</f>
        <v>styczeń</v>
      </c>
      <c r="P23" s="14">
        <f>YEAR(Tabela1[[#This Row],[DATA WYSTAWIENIA FAKTURY]])</f>
        <v>2025</v>
      </c>
      <c r="Q23" s="14" t="str">
        <f>IF(ISBLANK(Tabela1[[#This Row],[DATA PŁATNOŚCI]]),"Bez daty płatności","Z datą płatności")</f>
        <v>Z datą płatności</v>
      </c>
    </row>
    <row r="24" spans="1:22" ht="13.5" customHeight="1">
      <c r="A24" s="14">
        <v>1313</v>
      </c>
      <c r="B24" s="14" t="s">
        <v>1078</v>
      </c>
      <c r="C24" s="14" t="s">
        <v>1079</v>
      </c>
      <c r="D24" s="14" t="s">
        <v>1080</v>
      </c>
      <c r="E24" s="14" t="s">
        <v>1081</v>
      </c>
      <c r="F24" s="14">
        <v>4792588518</v>
      </c>
      <c r="G24" s="15">
        <v>6899.19</v>
      </c>
      <c r="H24" s="16">
        <v>0.23</v>
      </c>
      <c r="I24" s="17">
        <v>1586.8136999999999</v>
      </c>
      <c r="J24" s="17">
        <v>8486</v>
      </c>
      <c r="K24" s="18" t="s">
        <v>1082</v>
      </c>
      <c r="L24" s="19">
        <v>45677</v>
      </c>
      <c r="M24" s="19">
        <f t="shared" si="0"/>
        <v>45691</v>
      </c>
      <c r="N24" s="19">
        <v>45680</v>
      </c>
      <c r="O24" t="str">
        <f>TEXT(Tabela1[[#This Row],[DATA WYSTAWIENIA FAKTURY]], "MMMM")</f>
        <v>styczeń</v>
      </c>
      <c r="P24" s="14">
        <f>YEAR(Tabela1[[#This Row],[DATA WYSTAWIENIA FAKTURY]])</f>
        <v>2025</v>
      </c>
      <c r="Q24" s="14" t="str">
        <f>IF(ISBLANK(Tabela1[[#This Row],[DATA PŁATNOŚCI]]),"Bez daty płatności","Z datą płatności")</f>
        <v>Z datą płatności</v>
      </c>
    </row>
    <row r="25" spans="1:22" ht="13.5" customHeight="1">
      <c r="A25" s="14">
        <v>1320</v>
      </c>
      <c r="B25" s="14" t="s">
        <v>1083</v>
      </c>
      <c r="C25" s="14" t="s">
        <v>1084</v>
      </c>
      <c r="D25" s="14" t="s">
        <v>1085</v>
      </c>
      <c r="E25" s="14" t="s">
        <v>1086</v>
      </c>
      <c r="F25" s="14">
        <v>2466805173</v>
      </c>
      <c r="G25" s="15">
        <v>10131.709999999999</v>
      </c>
      <c r="H25" s="16">
        <v>0.23</v>
      </c>
      <c r="I25" s="17">
        <v>2330.2932999999998</v>
      </c>
      <c r="J25" s="17">
        <v>12462</v>
      </c>
      <c r="K25" s="18" t="s">
        <v>1087</v>
      </c>
      <c r="L25" s="19">
        <v>45678</v>
      </c>
      <c r="M25" s="19">
        <f t="shared" si="0"/>
        <v>45692</v>
      </c>
      <c r="N25" s="19">
        <v>45684</v>
      </c>
      <c r="O25" t="str">
        <f>TEXT(Tabela1[[#This Row],[DATA WYSTAWIENIA FAKTURY]], "MMMM")</f>
        <v>styczeń</v>
      </c>
      <c r="P25" s="14">
        <f>YEAR(Tabela1[[#This Row],[DATA WYSTAWIENIA FAKTURY]])</f>
        <v>2025</v>
      </c>
      <c r="Q25" s="14" t="str">
        <f>IF(ISBLANK(Tabela1[[#This Row],[DATA PŁATNOŚCI]]),"Bez daty płatności","Z datą płatności")</f>
        <v>Z datą płatności</v>
      </c>
    </row>
    <row r="26" spans="1:22" ht="13.5" customHeight="1">
      <c r="A26" s="14">
        <v>1329</v>
      </c>
      <c r="B26" s="14" t="s">
        <v>1088</v>
      </c>
      <c r="C26" s="14" t="s">
        <v>1089</v>
      </c>
      <c r="D26" s="14" t="s">
        <v>1090</v>
      </c>
      <c r="E26" s="14" t="s">
        <v>1091</v>
      </c>
      <c r="F26" s="14">
        <v>5910817373</v>
      </c>
      <c r="G26" s="15">
        <v>8003.25</v>
      </c>
      <c r="H26" s="16">
        <v>0.23</v>
      </c>
      <c r="I26" s="17">
        <v>1840.7475000000002</v>
      </c>
      <c r="J26" s="17">
        <v>9844</v>
      </c>
      <c r="K26" s="18" t="s">
        <v>1092</v>
      </c>
      <c r="L26" s="19">
        <v>45679</v>
      </c>
      <c r="M26" s="19">
        <f t="shared" si="0"/>
        <v>45693</v>
      </c>
      <c r="O26" t="str">
        <f>TEXT(Tabela1[[#This Row],[DATA WYSTAWIENIA FAKTURY]], "MMMM")</f>
        <v>styczeń</v>
      </c>
      <c r="P26" s="14">
        <f>YEAR(Tabela1[[#This Row],[DATA WYSTAWIENIA FAKTURY]])</f>
        <v>2025</v>
      </c>
      <c r="Q26" s="14" t="str">
        <f>IF(ISBLANK(Tabela1[[#This Row],[DATA PŁATNOŚCI]]),"Bez daty płatności","Z datą płatności")</f>
        <v>Bez daty płatności</v>
      </c>
    </row>
    <row r="27" spans="1:22" ht="13.5" customHeight="1">
      <c r="A27" s="14">
        <v>1333</v>
      </c>
      <c r="B27" s="14" t="s">
        <v>1093</v>
      </c>
      <c r="C27" s="14" t="s">
        <v>1094</v>
      </c>
      <c r="D27" s="14" t="s">
        <v>1026</v>
      </c>
      <c r="E27" s="14" t="s">
        <v>1095</v>
      </c>
      <c r="F27" s="14">
        <v>2650348826</v>
      </c>
      <c r="G27" s="15">
        <v>11179.67</v>
      </c>
      <c r="H27" s="16">
        <v>0.23</v>
      </c>
      <c r="I27" s="17">
        <v>2571.3241000000003</v>
      </c>
      <c r="J27" s="17">
        <v>13751</v>
      </c>
      <c r="K27" s="18" t="s">
        <v>1096</v>
      </c>
      <c r="L27" s="19">
        <v>45680</v>
      </c>
      <c r="M27" s="19">
        <f t="shared" si="0"/>
        <v>45694</v>
      </c>
      <c r="N27" s="19">
        <v>45681</v>
      </c>
      <c r="O27" t="str">
        <f>TEXT(Tabela1[[#This Row],[DATA WYSTAWIENIA FAKTURY]], "MMMM")</f>
        <v>styczeń</v>
      </c>
      <c r="P27" s="14">
        <f>YEAR(Tabela1[[#This Row],[DATA WYSTAWIENIA FAKTURY]])</f>
        <v>2025</v>
      </c>
      <c r="Q27" s="14" t="str">
        <f>IF(ISBLANK(Tabela1[[#This Row],[DATA PŁATNOŚCI]]),"Bez daty płatności","Z datą płatności")</f>
        <v>Z datą płatności</v>
      </c>
    </row>
    <row r="28" spans="1:22" ht="13.5" customHeight="1">
      <c r="A28" s="14">
        <v>1339</v>
      </c>
      <c r="B28" s="14" t="s">
        <v>1097</v>
      </c>
      <c r="C28" s="14" t="s">
        <v>1098</v>
      </c>
      <c r="D28" s="14" t="s">
        <v>1099</v>
      </c>
      <c r="E28" s="14" t="s">
        <v>1100</v>
      </c>
      <c r="F28" s="14">
        <v>1377010276</v>
      </c>
      <c r="G28" s="15">
        <v>6573.98</v>
      </c>
      <c r="H28" s="16">
        <v>0.23</v>
      </c>
      <c r="I28" s="17">
        <v>1512.0154</v>
      </c>
      <c r="J28" s="17">
        <v>8086</v>
      </c>
      <c r="K28" s="18" t="s">
        <v>1101</v>
      </c>
      <c r="L28" s="19">
        <v>45681</v>
      </c>
      <c r="M28" s="19">
        <f t="shared" si="0"/>
        <v>45695</v>
      </c>
      <c r="N28" s="19">
        <v>45688</v>
      </c>
      <c r="O28" t="str">
        <f>TEXT(Tabela1[[#This Row],[DATA WYSTAWIENIA FAKTURY]], "MMMM")</f>
        <v>styczeń</v>
      </c>
      <c r="P28" s="14">
        <f>YEAR(Tabela1[[#This Row],[DATA WYSTAWIENIA FAKTURY]])</f>
        <v>2025</v>
      </c>
      <c r="Q28" s="14" t="str">
        <f>IF(ISBLANK(Tabela1[[#This Row],[DATA PŁATNOŚCI]]),"Bez daty płatności","Z datą płatności")</f>
        <v>Z datą płatności</v>
      </c>
    </row>
    <row r="29" spans="1:22" ht="13.5" customHeight="1">
      <c r="A29" s="14">
        <v>1340</v>
      </c>
      <c r="B29" s="14" t="s">
        <v>1102</v>
      </c>
      <c r="C29" s="14" t="s">
        <v>1103</v>
      </c>
      <c r="D29" s="14" t="s">
        <v>1104</v>
      </c>
      <c r="E29" s="14" t="s">
        <v>1105</v>
      </c>
      <c r="F29" s="14">
        <v>8926797137</v>
      </c>
      <c r="G29" s="15">
        <v>9104.07</v>
      </c>
      <c r="H29" s="16">
        <v>0.23</v>
      </c>
      <c r="I29" s="17">
        <v>2093.9360999999999</v>
      </c>
      <c r="J29" s="17">
        <v>11198</v>
      </c>
      <c r="K29" s="18" t="s">
        <v>1106</v>
      </c>
      <c r="L29" s="19">
        <v>45682</v>
      </c>
      <c r="M29" s="19">
        <f t="shared" si="0"/>
        <v>45696</v>
      </c>
      <c r="N29" s="19">
        <v>45698</v>
      </c>
      <c r="O29" t="str">
        <f>TEXT(Tabela1[[#This Row],[DATA WYSTAWIENIA FAKTURY]], "MMMM")</f>
        <v>styczeń</v>
      </c>
      <c r="P29" s="14">
        <f>YEAR(Tabela1[[#This Row],[DATA WYSTAWIENIA FAKTURY]])</f>
        <v>2025</v>
      </c>
      <c r="Q29" s="14" t="str">
        <f>IF(ISBLANK(Tabela1[[#This Row],[DATA PŁATNOŚCI]]),"Bez daty płatności","Z datą płatności")</f>
        <v>Z datą płatności</v>
      </c>
    </row>
    <row r="30" spans="1:22" ht="13.5" customHeight="1">
      <c r="A30" s="14">
        <v>1341</v>
      </c>
      <c r="B30" s="14" t="s">
        <v>1107</v>
      </c>
      <c r="C30" s="14" t="s">
        <v>1108</v>
      </c>
      <c r="D30" s="14" t="s">
        <v>1109</v>
      </c>
      <c r="E30" s="14" t="s">
        <v>1110</v>
      </c>
      <c r="F30" s="14">
        <v>2116684585</v>
      </c>
      <c r="G30" s="15">
        <v>8428.4599999999991</v>
      </c>
      <c r="H30" s="16">
        <v>0.23</v>
      </c>
      <c r="I30" s="17">
        <v>1938.5457999999999</v>
      </c>
      <c r="J30" s="17">
        <v>10367</v>
      </c>
      <c r="K30" s="18" t="s">
        <v>1111</v>
      </c>
      <c r="L30" s="19">
        <v>45683</v>
      </c>
      <c r="M30" s="19">
        <f t="shared" si="0"/>
        <v>45697</v>
      </c>
      <c r="O30" t="str">
        <f>TEXT(Tabela1[[#This Row],[DATA WYSTAWIENIA FAKTURY]], "MMMM")</f>
        <v>styczeń</v>
      </c>
      <c r="P30" s="14">
        <f>YEAR(Tabela1[[#This Row],[DATA WYSTAWIENIA FAKTURY]])</f>
        <v>2025</v>
      </c>
      <c r="Q30" s="14" t="str">
        <f>IF(ISBLANK(Tabela1[[#This Row],[DATA PŁATNOŚCI]]),"Bez daty płatności","Z datą płatności")</f>
        <v>Bez daty płatności</v>
      </c>
    </row>
    <row r="31" spans="1:22" ht="13.5" customHeight="1">
      <c r="A31" s="14">
        <v>1348</v>
      </c>
      <c r="B31" s="14" t="s">
        <v>1112</v>
      </c>
      <c r="C31" s="14" t="s">
        <v>1113</v>
      </c>
      <c r="D31" s="14" t="s">
        <v>1114</v>
      </c>
      <c r="E31" s="14" t="s">
        <v>1115</v>
      </c>
      <c r="F31" s="14">
        <v>3672951128</v>
      </c>
      <c r="G31" s="15">
        <v>4993.5</v>
      </c>
      <c r="H31" s="16">
        <v>0.23</v>
      </c>
      <c r="I31" s="17">
        <v>1148.5050000000001</v>
      </c>
      <c r="J31" s="17">
        <v>6142</v>
      </c>
      <c r="K31" s="18" t="s">
        <v>1116</v>
      </c>
      <c r="L31" s="19">
        <v>45684</v>
      </c>
      <c r="M31" s="19">
        <f t="shared" si="0"/>
        <v>45698</v>
      </c>
      <c r="O31" t="str">
        <f>TEXT(Tabela1[[#This Row],[DATA WYSTAWIENIA FAKTURY]], "MMMM")</f>
        <v>styczeń</v>
      </c>
      <c r="P31" s="14">
        <f>YEAR(Tabela1[[#This Row],[DATA WYSTAWIENIA FAKTURY]])</f>
        <v>2025</v>
      </c>
      <c r="Q31" s="14" t="str">
        <f>IF(ISBLANK(Tabela1[[#This Row],[DATA PŁATNOŚCI]]),"Bez daty płatności","Z datą płatności")</f>
        <v>Bez daty płatności</v>
      </c>
    </row>
    <row r="32" spans="1:22" ht="13.5" customHeight="1">
      <c r="A32" s="14">
        <v>1356</v>
      </c>
      <c r="B32" s="14" t="s">
        <v>1117</v>
      </c>
      <c r="C32" s="14" t="s">
        <v>1118</v>
      </c>
      <c r="D32" s="14" t="s">
        <v>1119</v>
      </c>
      <c r="E32" s="14" t="s">
        <v>1120</v>
      </c>
      <c r="F32" s="14">
        <v>6375448835</v>
      </c>
      <c r="G32" s="15">
        <v>4230.8900000000003</v>
      </c>
      <c r="H32" s="16">
        <v>0.23</v>
      </c>
      <c r="I32" s="17">
        <v>973.10470000000009</v>
      </c>
      <c r="J32" s="17">
        <v>5204</v>
      </c>
      <c r="K32" s="18" t="s">
        <v>1121</v>
      </c>
      <c r="L32" s="19">
        <v>45685</v>
      </c>
      <c r="M32" s="19">
        <f t="shared" si="0"/>
        <v>45699</v>
      </c>
      <c r="N32" s="19">
        <v>45698</v>
      </c>
      <c r="O32" t="str">
        <f>TEXT(Tabela1[[#This Row],[DATA WYSTAWIENIA FAKTURY]], "MMMM")</f>
        <v>styczeń</v>
      </c>
      <c r="P32" s="14">
        <f>YEAR(Tabela1[[#This Row],[DATA WYSTAWIENIA FAKTURY]])</f>
        <v>2025</v>
      </c>
      <c r="Q32" s="14" t="str">
        <f>IF(ISBLANK(Tabela1[[#This Row],[DATA PŁATNOŚCI]]),"Bez daty płatności","Z datą płatności")</f>
        <v>Z datą płatności</v>
      </c>
    </row>
    <row r="33" spans="1:17" ht="13.5" customHeight="1">
      <c r="A33" s="14">
        <v>1357</v>
      </c>
      <c r="B33" s="14" t="s">
        <v>1122</v>
      </c>
      <c r="C33" s="14" t="s">
        <v>1123</v>
      </c>
      <c r="D33" s="14" t="s">
        <v>1124</v>
      </c>
      <c r="E33" s="14" t="s">
        <v>1125</v>
      </c>
      <c r="F33" s="14">
        <v>8922358731</v>
      </c>
      <c r="G33" s="15">
        <v>5383.74</v>
      </c>
      <c r="H33" s="16">
        <v>0.23</v>
      </c>
      <c r="I33" s="17">
        <v>1238.2601999999999</v>
      </c>
      <c r="J33" s="17">
        <v>6622</v>
      </c>
      <c r="K33" s="18" t="s">
        <v>1126</v>
      </c>
      <c r="L33" s="19">
        <v>45686</v>
      </c>
      <c r="M33" s="19">
        <f t="shared" si="0"/>
        <v>45700</v>
      </c>
      <c r="N33" s="19">
        <v>45694</v>
      </c>
      <c r="O33" t="str">
        <f>TEXT(Tabela1[[#This Row],[DATA WYSTAWIENIA FAKTURY]], "MMMM")</f>
        <v>styczeń</v>
      </c>
      <c r="P33" s="14">
        <f>YEAR(Tabela1[[#This Row],[DATA WYSTAWIENIA FAKTURY]])</f>
        <v>2025</v>
      </c>
      <c r="Q33" s="14" t="str">
        <f>IF(ISBLANK(Tabela1[[#This Row],[DATA PŁATNOŚCI]]),"Bez daty płatności","Z datą płatności")</f>
        <v>Z datą płatności</v>
      </c>
    </row>
    <row r="34" spans="1:17" ht="13.5" customHeight="1">
      <c r="A34" s="14">
        <v>1369</v>
      </c>
      <c r="B34" s="14" t="s">
        <v>1127</v>
      </c>
      <c r="C34" s="14" t="s">
        <v>1128</v>
      </c>
      <c r="D34" s="14" t="s">
        <v>1129</v>
      </c>
      <c r="E34" s="14" t="s">
        <v>1130</v>
      </c>
      <c r="F34" s="14">
        <v>4124185745</v>
      </c>
      <c r="G34" s="15">
        <v>9875.61</v>
      </c>
      <c r="H34" s="16">
        <v>0.23</v>
      </c>
      <c r="I34" s="17">
        <v>2271.3903</v>
      </c>
      <c r="J34" s="17">
        <v>12147</v>
      </c>
      <c r="K34" s="18" t="s">
        <v>1131</v>
      </c>
      <c r="L34" s="19">
        <v>45687</v>
      </c>
      <c r="M34" s="19">
        <f t="shared" si="0"/>
        <v>45701</v>
      </c>
      <c r="O34" t="str">
        <f>TEXT(Tabela1[[#This Row],[DATA WYSTAWIENIA FAKTURY]], "MMMM")</f>
        <v>styczeń</v>
      </c>
      <c r="P34" s="14">
        <f>YEAR(Tabela1[[#This Row],[DATA WYSTAWIENIA FAKTURY]])</f>
        <v>2025</v>
      </c>
      <c r="Q34" s="14" t="str">
        <f>IF(ISBLANK(Tabela1[[#This Row],[DATA PŁATNOŚCI]]),"Bez daty płatności","Z datą płatności")</f>
        <v>Bez daty płatności</v>
      </c>
    </row>
  </sheetData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I4999"/>
  <sheetViews>
    <sheetView topLeftCell="A13" workbookViewId="0">
      <selection activeCell="A13" sqref="A13:B19"/>
    </sheetView>
  </sheetViews>
  <sheetFormatPr defaultColWidth="8" defaultRowHeight="12.9"/>
  <cols>
    <col min="1" max="1" width="7.8984375" style="20" customWidth="1"/>
    <col min="2" max="2" width="8.19921875" style="20" customWidth="1"/>
    <col min="3" max="8" width="7.8984375" style="20" customWidth="1"/>
    <col min="9" max="9" width="7.8984375" style="22" customWidth="1"/>
    <col min="10" max="18" width="7.8984375" style="20" customWidth="1"/>
    <col min="19" max="19" width="8" style="20" customWidth="1"/>
    <col min="20" max="16384" width="8" style="20"/>
  </cols>
  <sheetData>
    <row r="1" spans="1:9" ht="13.2">
      <c r="A1" s="20" t="s">
        <v>1132</v>
      </c>
      <c r="B1" s="20" t="s">
        <v>1133</v>
      </c>
      <c r="I1" s="20"/>
    </row>
    <row r="2" spans="1:9" s="21" customFormat="1" ht="13.8">
      <c r="A2" s="21" t="s">
        <v>1134</v>
      </c>
      <c r="B2" s="21" t="s">
        <v>1135</v>
      </c>
    </row>
    <row r="3" spans="1:9" s="21" customFormat="1" ht="13.8">
      <c r="A3" s="21" t="s">
        <v>1136</v>
      </c>
      <c r="B3" s="21" t="s">
        <v>1137</v>
      </c>
    </row>
    <row r="4" spans="1:9" s="21" customFormat="1" ht="13.8">
      <c r="A4" s="21" t="s">
        <v>1138</v>
      </c>
      <c r="B4" s="21" t="s">
        <v>1139</v>
      </c>
    </row>
    <row r="5" spans="1:9" s="21" customFormat="1" ht="13.8">
      <c r="A5" s="21" t="s">
        <v>1140</v>
      </c>
      <c r="B5" s="21" t="s">
        <v>1135</v>
      </c>
    </row>
    <row r="6" spans="1:9" s="21" customFormat="1" ht="13.8">
      <c r="A6" s="21" t="s">
        <v>1141</v>
      </c>
      <c r="B6" s="21" t="s">
        <v>1142</v>
      </c>
    </row>
    <row r="7" spans="1:9" s="21" customFormat="1" ht="13.8">
      <c r="A7" s="21" t="s">
        <v>1143</v>
      </c>
      <c r="B7" s="21" t="s">
        <v>1135</v>
      </c>
    </row>
    <row r="8" spans="1:9" s="21" customFormat="1" ht="13.8">
      <c r="A8" s="21" t="s">
        <v>1144</v>
      </c>
      <c r="B8" s="21" t="s">
        <v>1137</v>
      </c>
    </row>
    <row r="9" spans="1:9" s="21" customFormat="1" ht="13.8">
      <c r="A9" s="21" t="s">
        <v>1136</v>
      </c>
      <c r="B9" s="21" t="s">
        <v>1139</v>
      </c>
    </row>
    <row r="10" spans="1:9" s="21" customFormat="1" ht="13.8">
      <c r="A10" s="21" t="s">
        <v>1136</v>
      </c>
      <c r="B10" s="21" t="s">
        <v>1135</v>
      </c>
    </row>
    <row r="11" spans="1:9" s="21" customFormat="1" ht="13.8">
      <c r="A11" s="21" t="s">
        <v>1136</v>
      </c>
      <c r="B11" s="21" t="s">
        <v>1142</v>
      </c>
    </row>
    <row r="12" spans="1:9" s="21" customFormat="1" ht="13.8">
      <c r="A12" s="21" t="s">
        <v>1143</v>
      </c>
      <c r="B12" s="21" t="s">
        <v>1137</v>
      </c>
    </row>
    <row r="13" spans="1:9" s="21" customFormat="1" ht="13.8">
      <c r="A13" s="21" t="s">
        <v>1134</v>
      </c>
      <c r="B13" s="21" t="s">
        <v>1139</v>
      </c>
    </row>
    <row r="14" spans="1:9" s="21" customFormat="1" ht="13.8">
      <c r="A14" s="21" t="s">
        <v>1134</v>
      </c>
      <c r="B14" s="21" t="s">
        <v>1142</v>
      </c>
    </row>
    <row r="15" spans="1:9" s="21" customFormat="1" ht="13.8">
      <c r="A15" s="21" t="s">
        <v>1141</v>
      </c>
      <c r="B15" s="21" t="s">
        <v>1139</v>
      </c>
    </row>
    <row r="16" spans="1:9" s="21" customFormat="1" ht="13.8">
      <c r="A16" s="21" t="s">
        <v>1140</v>
      </c>
      <c r="B16" s="21" t="s">
        <v>1139</v>
      </c>
    </row>
    <row r="17" spans="1:2" s="21" customFormat="1" ht="13.8">
      <c r="A17" s="21" t="s">
        <v>1140</v>
      </c>
      <c r="B17" s="21" t="s">
        <v>1142</v>
      </c>
    </row>
    <row r="18" spans="1:2" s="21" customFormat="1" ht="13.8">
      <c r="A18" s="21" t="s">
        <v>1138</v>
      </c>
      <c r="B18" s="21" t="s">
        <v>1135</v>
      </c>
    </row>
    <row r="19" spans="1:2" s="21" customFormat="1" ht="13.8">
      <c r="A19" s="21" t="s">
        <v>1138</v>
      </c>
      <c r="B19" s="21" t="s">
        <v>1137</v>
      </c>
    </row>
    <row r="20" spans="1:2" s="21" customFormat="1" ht="13.8"/>
    <row r="21" spans="1:2" s="21" customFormat="1" ht="13.8"/>
    <row r="22" spans="1:2" s="21" customFormat="1" ht="13.8"/>
    <row r="23" spans="1:2" s="21" customFormat="1" ht="13.8"/>
    <row r="24" spans="1:2" s="21" customFormat="1" ht="13.8"/>
    <row r="25" spans="1:2" s="21" customFormat="1" ht="13.8"/>
    <row r="26" spans="1:2" s="21" customFormat="1" ht="13.8"/>
    <row r="27" spans="1:2" s="21" customFormat="1" ht="13.8"/>
    <row r="28" spans="1:2" s="21" customFormat="1" ht="13.8"/>
    <row r="29" spans="1:2" s="21" customFormat="1" ht="13.8"/>
    <row r="30" spans="1:2" s="21" customFormat="1" ht="13.8"/>
    <row r="31" spans="1:2" s="21" customFormat="1" ht="13.8"/>
    <row r="32" spans="1:2" s="21" customFormat="1" ht="13.8"/>
    <row r="33" s="21" customFormat="1" ht="13.8"/>
    <row r="34" s="21" customFormat="1" ht="13.8"/>
    <row r="35" s="21" customFormat="1" ht="13.8"/>
    <row r="36" s="21" customFormat="1" ht="13.8"/>
    <row r="37" s="21" customFormat="1" ht="13.8"/>
    <row r="38" s="21" customFormat="1" ht="13.8"/>
    <row r="39" s="21" customFormat="1" ht="13.8"/>
    <row r="40" s="21" customFormat="1" ht="13.8"/>
    <row r="41" s="21" customFormat="1" ht="13.8"/>
    <row r="42" s="21" customFormat="1" ht="13.8"/>
    <row r="43" s="21" customFormat="1" ht="13.8"/>
    <row r="44" s="21" customFormat="1" ht="13.8"/>
    <row r="45" s="21" customFormat="1" ht="13.8"/>
    <row r="46" s="21" customFormat="1" ht="13.8"/>
    <row r="47" s="21" customFormat="1" ht="13.8"/>
    <row r="48" s="21" customFormat="1" ht="13.8"/>
    <row r="49" s="21" customFormat="1" ht="13.8"/>
    <row r="50" s="21" customFormat="1" ht="13.8"/>
    <row r="51" s="21" customFormat="1" ht="13.8"/>
    <row r="52" s="21" customFormat="1" ht="13.8"/>
    <row r="53" s="21" customFormat="1" ht="13.8"/>
    <row r="54" s="21" customFormat="1" ht="13.8"/>
    <row r="55" s="21" customFormat="1" ht="13.8"/>
    <row r="56" s="21" customFormat="1" ht="13.8"/>
    <row r="57" s="21" customFormat="1" ht="13.8"/>
    <row r="58" s="21" customFormat="1" ht="13.8"/>
    <row r="59" s="21" customFormat="1" ht="13.8"/>
    <row r="60" s="21" customFormat="1" ht="13.8"/>
    <row r="61" s="21" customFormat="1" ht="13.8"/>
    <row r="62" s="21" customFormat="1" ht="13.8"/>
    <row r="63" s="21" customFormat="1" ht="13.8"/>
    <row r="64" s="21" customFormat="1" ht="13.8"/>
    <row r="65" s="21" customFormat="1" ht="13.8"/>
    <row r="66" s="21" customFormat="1" ht="13.8"/>
    <row r="67" s="21" customFormat="1" ht="13.8"/>
    <row r="68" s="21" customFormat="1" ht="13.8"/>
    <row r="69" s="21" customFormat="1" ht="13.8"/>
    <row r="70" s="21" customFormat="1" ht="13.8"/>
    <row r="71" s="21" customFormat="1" ht="13.8"/>
    <row r="72" s="21" customFormat="1" ht="13.8"/>
    <row r="73" s="21" customFormat="1" ht="13.8"/>
    <row r="74" s="21" customFormat="1" ht="13.8"/>
    <row r="75" s="21" customFormat="1" ht="13.8"/>
    <row r="76" s="21" customFormat="1" ht="13.8"/>
    <row r="77" s="21" customFormat="1" ht="13.8"/>
    <row r="78" s="21" customFormat="1" ht="13.8"/>
    <row r="79" s="21" customFormat="1" ht="13.8"/>
    <row r="80" s="21" customFormat="1" ht="13.8"/>
    <row r="81" s="21" customFormat="1" ht="13.8"/>
    <row r="82" s="21" customFormat="1" ht="13.8"/>
    <row r="83" s="21" customFormat="1" ht="13.8"/>
    <row r="84" s="21" customFormat="1" ht="13.8"/>
    <row r="85" s="21" customFormat="1" ht="13.8"/>
    <row r="86" s="21" customFormat="1" ht="13.8"/>
    <row r="87" s="21" customFormat="1" ht="13.8"/>
    <row r="88" s="21" customFormat="1" ht="13.8"/>
    <row r="89" s="21" customFormat="1" ht="13.8"/>
    <row r="90" s="21" customFormat="1" ht="13.8"/>
    <row r="91" s="21" customFormat="1" ht="13.8"/>
    <row r="92" s="21" customFormat="1" ht="13.8"/>
    <row r="93" s="21" customFormat="1" ht="13.8"/>
    <row r="94" s="21" customFormat="1" ht="13.8"/>
    <row r="95" s="21" customFormat="1" ht="13.8"/>
    <row r="96" s="21" customFormat="1" ht="13.8"/>
    <row r="97" s="21" customFormat="1" ht="13.8"/>
    <row r="98" s="21" customFormat="1" ht="13.8"/>
    <row r="99" s="21" customFormat="1" ht="13.8"/>
    <row r="100" s="21" customFormat="1" ht="13.8"/>
    <row r="101" s="21" customFormat="1" ht="13.8"/>
    <row r="102" s="21" customFormat="1" ht="13.8"/>
    <row r="103" s="21" customFormat="1" ht="13.8"/>
    <row r="104" s="21" customFormat="1" ht="13.8"/>
    <row r="105" s="21" customFormat="1" ht="13.8"/>
    <row r="106" s="21" customFormat="1" ht="13.8"/>
    <row r="107" s="21" customFormat="1" ht="13.8"/>
    <row r="108" s="21" customFormat="1" ht="13.8"/>
    <row r="109" s="21" customFormat="1" ht="13.8"/>
    <row r="110" s="21" customFormat="1" ht="13.8"/>
    <row r="111" s="21" customFormat="1" ht="13.8"/>
    <row r="112" s="21" customFormat="1" ht="13.8"/>
    <row r="113" s="21" customFormat="1" ht="13.8"/>
    <row r="114" s="21" customFormat="1" ht="13.8"/>
    <row r="115" s="21" customFormat="1" ht="13.8"/>
    <row r="116" s="21" customFormat="1" ht="13.8"/>
    <row r="117" s="21" customFormat="1" ht="13.8"/>
    <row r="118" s="21" customFormat="1" ht="13.8"/>
    <row r="119" s="21" customFormat="1" ht="13.8"/>
    <row r="120" s="21" customFormat="1" ht="13.8"/>
    <row r="121" s="21" customFormat="1" ht="13.8"/>
    <row r="122" s="21" customFormat="1" ht="13.8"/>
    <row r="123" s="21" customFormat="1" ht="13.8"/>
    <row r="124" s="21" customFormat="1" ht="13.8"/>
    <row r="125" s="21" customFormat="1" ht="13.8"/>
    <row r="126" s="21" customFormat="1" ht="13.8"/>
    <row r="127" s="21" customFormat="1" ht="13.8"/>
    <row r="128" s="21" customFormat="1" ht="13.8"/>
    <row r="129" s="21" customFormat="1" ht="13.8"/>
    <row r="130" s="21" customFormat="1" ht="13.8"/>
    <row r="131" s="21" customFormat="1" ht="13.8"/>
    <row r="132" s="21" customFormat="1" ht="13.8"/>
    <row r="133" s="21" customFormat="1" ht="13.8"/>
    <row r="134" s="21" customFormat="1" ht="13.8"/>
    <row r="135" s="21" customFormat="1" ht="13.8"/>
    <row r="136" s="21" customFormat="1" ht="13.8"/>
    <row r="137" s="21" customFormat="1" ht="13.8"/>
    <row r="138" s="21" customFormat="1" ht="13.8"/>
    <row r="139" s="21" customFormat="1" ht="13.8"/>
    <row r="140" s="21" customFormat="1" ht="13.8"/>
    <row r="141" s="21" customFormat="1" ht="13.8"/>
    <row r="142" s="21" customFormat="1" ht="13.8"/>
    <row r="143" s="21" customFormat="1" ht="13.8"/>
    <row r="144" s="21" customFormat="1" ht="13.8"/>
    <row r="145" s="21" customFormat="1" ht="13.8"/>
    <row r="146" s="21" customFormat="1" ht="13.8"/>
    <row r="147" s="21" customFormat="1" ht="13.8"/>
    <row r="148" s="21" customFormat="1" ht="13.8"/>
    <row r="149" s="21" customFormat="1" ht="13.8"/>
    <row r="150" s="21" customFormat="1" ht="13.8"/>
    <row r="151" s="21" customFormat="1" ht="13.8"/>
    <row r="152" s="21" customFormat="1" ht="13.8"/>
    <row r="153" s="21" customFormat="1" ht="13.8"/>
    <row r="154" s="21" customFormat="1" ht="13.8"/>
    <row r="155" s="21" customFormat="1" ht="13.8"/>
    <row r="156" s="21" customFormat="1" ht="13.8"/>
    <row r="157" s="21" customFormat="1" ht="13.8"/>
    <row r="158" s="21" customFormat="1" ht="13.8"/>
    <row r="159" s="21" customFormat="1" ht="13.8"/>
    <row r="160" s="21" customFormat="1" ht="13.8"/>
    <row r="161" s="21" customFormat="1" ht="13.8"/>
    <row r="162" s="21" customFormat="1" ht="13.8"/>
    <row r="163" s="21" customFormat="1" ht="13.8"/>
    <row r="164" s="21" customFormat="1" ht="13.8"/>
    <row r="165" s="21" customFormat="1" ht="13.8"/>
    <row r="166" s="21" customFormat="1" ht="13.8"/>
    <row r="167" s="21" customFormat="1" ht="13.8"/>
    <row r="168" s="21" customFormat="1" ht="13.8"/>
    <row r="169" s="21" customFormat="1" ht="13.8"/>
    <row r="170" s="21" customFormat="1" ht="13.8"/>
    <row r="171" s="21" customFormat="1" ht="13.8"/>
    <row r="172" s="21" customFormat="1" ht="13.8"/>
    <row r="173" s="21" customFormat="1" ht="13.8"/>
    <row r="174" s="21" customFormat="1" ht="13.8"/>
    <row r="175" s="21" customFormat="1" ht="13.8"/>
    <row r="176" s="21" customFormat="1" ht="13.8"/>
    <row r="177" s="21" customFormat="1" ht="13.8"/>
    <row r="178" s="21" customFormat="1" ht="13.8"/>
    <row r="179" s="21" customFormat="1" ht="13.8"/>
    <row r="180" s="21" customFormat="1" ht="13.8"/>
    <row r="181" s="21" customFormat="1" ht="13.8"/>
    <row r="182" s="21" customFormat="1" ht="13.8"/>
    <row r="183" s="21" customFormat="1" ht="13.8"/>
    <row r="184" s="21" customFormat="1" ht="13.8"/>
    <row r="185" s="21" customFormat="1" ht="13.8"/>
    <row r="186" s="21" customFormat="1" ht="13.8"/>
    <row r="187" s="21" customFormat="1" ht="13.8"/>
    <row r="188" s="21" customFormat="1" ht="13.8"/>
    <row r="189" s="21" customFormat="1" ht="13.8"/>
    <row r="190" s="21" customFormat="1" ht="13.8"/>
    <row r="191" s="21" customFormat="1" ht="13.8"/>
    <row r="192" s="21" customFormat="1" ht="13.8"/>
    <row r="193" s="21" customFormat="1" ht="13.8"/>
    <row r="194" s="21" customFormat="1" ht="13.8"/>
    <row r="195" s="21" customFormat="1" ht="13.8"/>
    <row r="196" s="21" customFormat="1" ht="13.8"/>
    <row r="197" s="21" customFormat="1" ht="13.8"/>
    <row r="198" s="21" customFormat="1" ht="13.8"/>
    <row r="199" s="21" customFormat="1" ht="13.8"/>
    <row r="200" s="21" customFormat="1" ht="13.8"/>
    <row r="201" s="21" customFormat="1" ht="13.8"/>
    <row r="202" s="21" customFormat="1" ht="13.8"/>
    <row r="203" s="21" customFormat="1" ht="13.8"/>
    <row r="204" s="21" customFormat="1" ht="13.8"/>
    <row r="205" s="21" customFormat="1" ht="13.8"/>
    <row r="206" s="21" customFormat="1" ht="13.8"/>
    <row r="207" s="21" customFormat="1" ht="13.8"/>
    <row r="208" s="21" customFormat="1" ht="13.8"/>
    <row r="209" s="21" customFormat="1" ht="13.8"/>
    <row r="210" s="21" customFormat="1" ht="13.8"/>
    <row r="211" s="21" customFormat="1" ht="13.8"/>
    <row r="212" s="21" customFormat="1" ht="13.8"/>
    <row r="213" s="21" customFormat="1" ht="13.8"/>
    <row r="214" s="21" customFormat="1" ht="13.8"/>
    <row r="215" s="21" customFormat="1" ht="13.8"/>
    <row r="216" s="21" customFormat="1" ht="13.8"/>
    <row r="217" s="21" customFormat="1" ht="13.8"/>
    <row r="218" s="21" customFormat="1" ht="13.8"/>
    <row r="219" s="21" customFormat="1" ht="13.8"/>
    <row r="220" s="21" customFormat="1" ht="13.8"/>
    <row r="221" s="21" customFormat="1" ht="13.8"/>
    <row r="222" s="21" customFormat="1" ht="13.8"/>
    <row r="223" s="21" customFormat="1" ht="13.8"/>
    <row r="224" s="21" customFormat="1" ht="13.8"/>
    <row r="225" s="21" customFormat="1" ht="13.8"/>
    <row r="226" s="21" customFormat="1" ht="13.8"/>
    <row r="227" s="21" customFormat="1" ht="13.8"/>
    <row r="228" s="21" customFormat="1" ht="13.8"/>
    <row r="229" s="21" customFormat="1" ht="13.8"/>
    <row r="230" s="21" customFormat="1" ht="13.8"/>
    <row r="231" s="21" customFormat="1" ht="13.8"/>
    <row r="232" s="21" customFormat="1" ht="13.8"/>
    <row r="233" s="21" customFormat="1" ht="13.8"/>
    <row r="234" s="21" customFormat="1" ht="13.8"/>
    <row r="235" s="21" customFormat="1" ht="13.8"/>
    <row r="236" s="21" customFormat="1" ht="13.8"/>
    <row r="237" s="21" customFormat="1" ht="13.8"/>
    <row r="238" s="21" customFormat="1" ht="13.8"/>
    <row r="239" s="21" customFormat="1" ht="13.8"/>
    <row r="240" s="21" customFormat="1" ht="13.8"/>
    <row r="241" s="21" customFormat="1" ht="13.8"/>
    <row r="242" s="21" customFormat="1" ht="13.8"/>
    <row r="243" s="21" customFormat="1" ht="13.8"/>
    <row r="244" s="21" customFormat="1" ht="13.8"/>
    <row r="245" s="21" customFormat="1" ht="13.8"/>
    <row r="246" s="21" customFormat="1" ht="13.8"/>
    <row r="247" s="21" customFormat="1" ht="13.8"/>
    <row r="248" s="21" customFormat="1" ht="13.8"/>
    <row r="249" s="21" customFormat="1" ht="13.8"/>
    <row r="250" s="21" customFormat="1" ht="13.8"/>
    <row r="251" s="21" customFormat="1" ht="13.8"/>
    <row r="252" s="21" customFormat="1" ht="13.8"/>
    <row r="253" s="21" customFormat="1" ht="13.8"/>
    <row r="254" s="21" customFormat="1" ht="13.8"/>
    <row r="255" s="21" customFormat="1" ht="13.8"/>
    <row r="256" s="21" customFormat="1" ht="13.8"/>
    <row r="257" s="21" customFormat="1" ht="13.8"/>
    <row r="258" s="21" customFormat="1" ht="13.8"/>
    <row r="259" s="21" customFormat="1" ht="13.8"/>
    <row r="260" s="21" customFormat="1" ht="13.8"/>
    <row r="261" s="21" customFormat="1" ht="13.8"/>
    <row r="262" s="21" customFormat="1" ht="13.8"/>
    <row r="263" s="21" customFormat="1" ht="13.8"/>
    <row r="264" s="21" customFormat="1" ht="13.8"/>
    <row r="265" s="21" customFormat="1" ht="13.8"/>
    <row r="266" s="21" customFormat="1" ht="13.8"/>
    <row r="267" s="21" customFormat="1" ht="13.8"/>
    <row r="268" s="21" customFormat="1" ht="13.8"/>
    <row r="269" s="21" customFormat="1" ht="13.8"/>
    <row r="270" s="21" customFormat="1" ht="13.8"/>
    <row r="271" s="21" customFormat="1" ht="13.8"/>
    <row r="272" s="21" customFormat="1" ht="13.8"/>
    <row r="273" s="21" customFormat="1" ht="13.8"/>
    <row r="274" s="21" customFormat="1" ht="13.8"/>
    <row r="275" s="21" customFormat="1" ht="13.8"/>
    <row r="276" s="21" customFormat="1" ht="13.8"/>
    <row r="277" s="21" customFormat="1" ht="13.8"/>
    <row r="278" s="21" customFormat="1" ht="13.8"/>
    <row r="279" s="21" customFormat="1" ht="13.8"/>
    <row r="280" s="21" customFormat="1" ht="13.8"/>
    <row r="281" s="21" customFormat="1" ht="13.8"/>
    <row r="282" s="21" customFormat="1" ht="13.8"/>
    <row r="283" s="21" customFormat="1" ht="13.8"/>
    <row r="284" s="21" customFormat="1" ht="13.8"/>
    <row r="285" s="21" customFormat="1" ht="13.8"/>
    <row r="286" s="21" customFormat="1" ht="13.8"/>
    <row r="287" s="21" customFormat="1" ht="13.8"/>
    <row r="288" s="21" customFormat="1" ht="13.8"/>
    <row r="289" s="21" customFormat="1" ht="13.8"/>
    <row r="290" s="21" customFormat="1" ht="13.8"/>
    <row r="291" s="21" customFormat="1" ht="13.8"/>
    <row r="292" s="21" customFormat="1" ht="13.8"/>
    <row r="293" s="21" customFormat="1" ht="13.8"/>
    <row r="294" s="21" customFormat="1" ht="13.8"/>
    <row r="295" s="21" customFormat="1" ht="13.8"/>
    <row r="296" s="21" customFormat="1" ht="13.8"/>
    <row r="297" s="21" customFormat="1" ht="13.8"/>
    <row r="298" s="21" customFormat="1" ht="13.8"/>
    <row r="299" s="21" customFormat="1" ht="13.8"/>
    <row r="300" s="21" customFormat="1" ht="13.8"/>
    <row r="301" s="21" customFormat="1" ht="13.8"/>
    <row r="302" s="21" customFormat="1" ht="13.8"/>
    <row r="303" s="21" customFormat="1" ht="13.8"/>
    <row r="304" s="21" customFormat="1" ht="13.8"/>
    <row r="305" s="21" customFormat="1" ht="13.8"/>
    <row r="306" s="21" customFormat="1" ht="13.8"/>
    <row r="307" s="21" customFormat="1" ht="13.8"/>
    <row r="308" s="21" customFormat="1" ht="13.8"/>
    <row r="309" s="21" customFormat="1" ht="13.8"/>
    <row r="310" s="21" customFormat="1" ht="13.8"/>
    <row r="311" s="21" customFormat="1" ht="13.8"/>
    <row r="312" s="21" customFormat="1" ht="13.8"/>
    <row r="313" s="21" customFormat="1" ht="13.8"/>
    <row r="314" s="21" customFormat="1" ht="13.8"/>
    <row r="315" s="21" customFormat="1" ht="13.8"/>
    <row r="316" s="21" customFormat="1" ht="13.8"/>
    <row r="317" s="21" customFormat="1" ht="13.8"/>
    <row r="318" s="21" customFormat="1" ht="13.8"/>
    <row r="319" s="21" customFormat="1" ht="13.8"/>
    <row r="320" s="21" customFormat="1" ht="13.8"/>
    <row r="321" s="21" customFormat="1" ht="13.8"/>
    <row r="322" s="21" customFormat="1" ht="13.8"/>
    <row r="323" s="21" customFormat="1" ht="13.8"/>
    <row r="324" s="21" customFormat="1" ht="13.8"/>
    <row r="325" s="21" customFormat="1" ht="13.8"/>
    <row r="326" s="21" customFormat="1" ht="13.8"/>
    <row r="327" s="21" customFormat="1" ht="13.8"/>
    <row r="328" s="21" customFormat="1" ht="13.8"/>
    <row r="329" s="21" customFormat="1" ht="13.8"/>
    <row r="330" s="21" customFormat="1" ht="13.8"/>
    <row r="331" s="21" customFormat="1" ht="13.8"/>
    <row r="332" s="21" customFormat="1" ht="13.8"/>
    <row r="333" s="21" customFormat="1" ht="13.8"/>
    <row r="334" s="21" customFormat="1" ht="13.8"/>
    <row r="335" s="21" customFormat="1" ht="13.8"/>
    <row r="336" s="21" customFormat="1" ht="13.8"/>
    <row r="337" s="21" customFormat="1" ht="13.8"/>
    <row r="338" s="21" customFormat="1" ht="13.8"/>
    <row r="339" s="21" customFormat="1" ht="13.8"/>
    <row r="340" s="21" customFormat="1" ht="13.8"/>
    <row r="341" s="21" customFormat="1" ht="13.8"/>
    <row r="342" s="21" customFormat="1" ht="13.8"/>
    <row r="343" s="21" customFormat="1" ht="13.8"/>
    <row r="344" s="21" customFormat="1" ht="13.8"/>
    <row r="345" s="21" customFormat="1" ht="13.8"/>
    <row r="346" s="21" customFormat="1" ht="13.8"/>
    <row r="347" s="21" customFormat="1" ht="13.8"/>
    <row r="348" s="21" customFormat="1" ht="13.8"/>
    <row r="349" s="21" customFormat="1" ht="13.8"/>
    <row r="350" s="21" customFormat="1" ht="13.8"/>
    <row r="351" s="21" customFormat="1" ht="13.8"/>
    <row r="352" s="21" customFormat="1" ht="13.8"/>
    <row r="353" s="21" customFormat="1" ht="13.8"/>
    <row r="354" s="21" customFormat="1" ht="13.8"/>
    <row r="355" s="21" customFormat="1" ht="13.8"/>
    <row r="356" s="21" customFormat="1" ht="13.8"/>
    <row r="357" s="21" customFormat="1" ht="13.8"/>
    <row r="358" s="21" customFormat="1" ht="13.8"/>
    <row r="359" s="21" customFormat="1" ht="13.8"/>
    <row r="360" s="21" customFormat="1" ht="13.8"/>
    <row r="361" s="21" customFormat="1" ht="13.8"/>
    <row r="362" s="21" customFormat="1" ht="13.8"/>
    <row r="363" s="21" customFormat="1" ht="13.8"/>
    <row r="364" s="21" customFormat="1" ht="13.8"/>
    <row r="365" s="21" customFormat="1" ht="13.8"/>
    <row r="366" s="21" customFormat="1" ht="13.8"/>
    <row r="367" s="21" customFormat="1" ht="13.8"/>
    <row r="368" s="21" customFormat="1" ht="13.8"/>
    <row r="369" s="21" customFormat="1" ht="13.8"/>
    <row r="370" s="21" customFormat="1" ht="13.8"/>
    <row r="371" s="21" customFormat="1" ht="13.8"/>
    <row r="372" s="21" customFormat="1" ht="13.8"/>
    <row r="373" s="21" customFormat="1" ht="13.8"/>
    <row r="374" s="21" customFormat="1" ht="13.8"/>
    <row r="375" s="21" customFormat="1" ht="13.8"/>
    <row r="376" s="21" customFormat="1" ht="13.8"/>
    <row r="377" s="21" customFormat="1" ht="13.8"/>
    <row r="378" s="21" customFormat="1" ht="13.8"/>
    <row r="379" s="21" customFormat="1" ht="13.8"/>
    <row r="380" s="21" customFormat="1" ht="13.8"/>
    <row r="381" s="21" customFormat="1" ht="13.8"/>
    <row r="382" s="21" customFormat="1" ht="13.8"/>
    <row r="383" s="21" customFormat="1" ht="13.8"/>
    <row r="384" s="21" customFormat="1" ht="13.8"/>
    <row r="385" s="21" customFormat="1" ht="13.8"/>
    <row r="386" s="21" customFormat="1" ht="13.8"/>
    <row r="387" s="21" customFormat="1" ht="13.8"/>
    <row r="388" s="21" customFormat="1" ht="13.8"/>
    <row r="389" s="21" customFormat="1" ht="13.8"/>
    <row r="390" s="21" customFormat="1" ht="13.8"/>
    <row r="391" s="21" customFormat="1" ht="13.8"/>
    <row r="392" s="21" customFormat="1" ht="13.8"/>
    <row r="393" s="21" customFormat="1" ht="13.8"/>
    <row r="394" s="21" customFormat="1" ht="13.8"/>
    <row r="395" s="21" customFormat="1" ht="13.8"/>
    <row r="396" s="21" customFormat="1" ht="13.8"/>
    <row r="397" s="21" customFormat="1" ht="13.8"/>
    <row r="398" s="21" customFormat="1" ht="13.8"/>
    <row r="399" s="21" customFormat="1" ht="13.8"/>
    <row r="400" s="21" customFormat="1" ht="13.8"/>
    <row r="401" s="21" customFormat="1" ht="13.8"/>
    <row r="402" s="21" customFormat="1" ht="13.8"/>
    <row r="403" s="21" customFormat="1" ht="13.8"/>
    <row r="404" s="21" customFormat="1" ht="13.8"/>
    <row r="405" s="21" customFormat="1" ht="13.8"/>
    <row r="406" s="21" customFormat="1" ht="13.8"/>
    <row r="407" s="21" customFormat="1" ht="13.8"/>
    <row r="408" s="21" customFormat="1" ht="13.8"/>
    <row r="409" s="21" customFormat="1" ht="13.8"/>
    <row r="410" s="21" customFormat="1" ht="13.8"/>
    <row r="411" s="21" customFormat="1" ht="13.8"/>
    <row r="412" s="21" customFormat="1" ht="13.8"/>
    <row r="413" s="21" customFormat="1" ht="13.8"/>
    <row r="414" s="21" customFormat="1" ht="13.8"/>
    <row r="415" s="21" customFormat="1" ht="13.8"/>
    <row r="416" s="21" customFormat="1" ht="13.8"/>
    <row r="417" s="21" customFormat="1" ht="13.8"/>
    <row r="418" s="21" customFormat="1" ht="13.8"/>
    <row r="419" s="21" customFormat="1" ht="13.8"/>
    <row r="420" s="21" customFormat="1" ht="13.8"/>
    <row r="421" s="21" customFormat="1" ht="13.8"/>
    <row r="422" s="21" customFormat="1" ht="13.8"/>
    <row r="423" s="21" customFormat="1" ht="13.8"/>
    <row r="424" s="21" customFormat="1" ht="13.8"/>
    <row r="425" s="21" customFormat="1" ht="13.8"/>
    <row r="426" s="21" customFormat="1" ht="13.8"/>
    <row r="427" s="21" customFormat="1" ht="13.8"/>
    <row r="428" s="21" customFormat="1" ht="13.8"/>
    <row r="429" s="21" customFormat="1" ht="13.8"/>
    <row r="430" s="21" customFormat="1" ht="13.8"/>
    <row r="431" s="21" customFormat="1" ht="13.8"/>
    <row r="432" s="21" customFormat="1" ht="13.8"/>
    <row r="433" s="21" customFormat="1" ht="13.8"/>
    <row r="434" s="21" customFormat="1" ht="13.8"/>
    <row r="435" s="21" customFormat="1" ht="13.8"/>
    <row r="436" s="21" customFormat="1" ht="13.8"/>
    <row r="437" s="21" customFormat="1" ht="13.8"/>
    <row r="438" s="21" customFormat="1" ht="13.8"/>
    <row r="439" s="21" customFormat="1" ht="13.8"/>
    <row r="440" s="21" customFormat="1" ht="13.8"/>
    <row r="441" s="21" customFormat="1" ht="13.8"/>
    <row r="442" s="21" customFormat="1" ht="13.8"/>
    <row r="443" s="21" customFormat="1" ht="13.8"/>
    <row r="444" s="21" customFormat="1" ht="13.8"/>
    <row r="445" s="21" customFormat="1" ht="13.8"/>
    <row r="446" s="21" customFormat="1" ht="13.8"/>
    <row r="447" s="21" customFormat="1" ht="13.8"/>
    <row r="448" s="21" customFormat="1" ht="13.8"/>
    <row r="449" s="21" customFormat="1" ht="13.8"/>
    <row r="450" s="21" customFormat="1" ht="13.8"/>
    <row r="451" s="21" customFormat="1" ht="13.8"/>
    <row r="452" s="21" customFormat="1" ht="13.8"/>
    <row r="453" s="21" customFormat="1" ht="13.8"/>
    <row r="454" s="21" customFormat="1" ht="13.8"/>
    <row r="455" s="21" customFormat="1" ht="13.8"/>
    <row r="456" s="21" customFormat="1" ht="13.8"/>
    <row r="457" s="21" customFormat="1" ht="13.8"/>
    <row r="458" s="21" customFormat="1" ht="13.8"/>
    <row r="459" s="21" customFormat="1" ht="13.8"/>
    <row r="460" s="21" customFormat="1" ht="13.8"/>
    <row r="461" s="21" customFormat="1" ht="13.8"/>
    <row r="462" s="21" customFormat="1" ht="13.8"/>
    <row r="463" s="21" customFormat="1" ht="13.8"/>
    <row r="464" s="21" customFormat="1" ht="13.8"/>
    <row r="465" s="21" customFormat="1" ht="13.8"/>
    <row r="466" s="21" customFormat="1" ht="13.8"/>
    <row r="467" s="21" customFormat="1" ht="13.8"/>
    <row r="468" s="21" customFormat="1" ht="13.8"/>
    <row r="469" s="21" customFormat="1" ht="13.8"/>
    <row r="470" s="21" customFormat="1" ht="13.8"/>
    <row r="471" s="21" customFormat="1" ht="13.8"/>
    <row r="472" s="21" customFormat="1" ht="13.8"/>
    <row r="473" s="21" customFormat="1" ht="13.8"/>
    <row r="474" s="21" customFormat="1" ht="13.8"/>
    <row r="475" s="21" customFormat="1" ht="13.8"/>
    <row r="476" s="21" customFormat="1" ht="13.8"/>
    <row r="477" s="21" customFormat="1" ht="13.8"/>
    <row r="478" s="21" customFormat="1" ht="13.8"/>
    <row r="479" s="21" customFormat="1" ht="13.8"/>
    <row r="480" s="21" customFormat="1" ht="13.8"/>
    <row r="481" s="21" customFormat="1" ht="13.8"/>
    <row r="482" s="21" customFormat="1" ht="13.8"/>
    <row r="483" s="21" customFormat="1" ht="13.8"/>
    <row r="484" s="21" customFormat="1" ht="13.8"/>
    <row r="485" s="21" customFormat="1" ht="13.8"/>
    <row r="486" s="21" customFormat="1" ht="13.8"/>
    <row r="487" s="21" customFormat="1" ht="13.8"/>
    <row r="488" s="21" customFormat="1" ht="13.8"/>
    <row r="489" s="21" customFormat="1" ht="13.8"/>
    <row r="490" s="21" customFormat="1" ht="13.8"/>
    <row r="491" s="21" customFormat="1" ht="13.8"/>
    <row r="492" s="21" customFormat="1" ht="13.8"/>
    <row r="493" s="21" customFormat="1" ht="13.8"/>
    <row r="494" s="21" customFormat="1" ht="13.8"/>
    <row r="495" s="21" customFormat="1" ht="13.8"/>
    <row r="496" s="21" customFormat="1" ht="13.8"/>
    <row r="497" s="21" customFormat="1" ht="13.8"/>
    <row r="498" s="21" customFormat="1" ht="13.8"/>
    <row r="499" s="21" customFormat="1" ht="13.8"/>
    <row r="500" s="21" customFormat="1" ht="13.8"/>
    <row r="501" s="21" customFormat="1" ht="13.8"/>
    <row r="502" s="21" customFormat="1" ht="13.8"/>
    <row r="503" s="21" customFormat="1" ht="13.8"/>
    <row r="504" s="21" customFormat="1" ht="13.8"/>
    <row r="505" s="21" customFormat="1" ht="13.8"/>
    <row r="506" s="21" customFormat="1" ht="13.8"/>
    <row r="507" s="21" customFormat="1" ht="13.8"/>
    <row r="508" s="21" customFormat="1" ht="13.8"/>
    <row r="509" s="21" customFormat="1" ht="13.8"/>
    <row r="510" s="21" customFormat="1" ht="13.8"/>
    <row r="511" s="21" customFormat="1" ht="13.8"/>
    <row r="512" s="21" customFormat="1" ht="13.8"/>
    <row r="513" s="21" customFormat="1" ht="13.8"/>
    <row r="514" s="21" customFormat="1" ht="13.8"/>
    <row r="515" s="21" customFormat="1" ht="13.8"/>
    <row r="516" s="21" customFormat="1" ht="13.8"/>
    <row r="517" s="21" customFormat="1" ht="13.8"/>
    <row r="518" s="21" customFormat="1" ht="13.8"/>
    <row r="519" s="21" customFormat="1" ht="13.8"/>
    <row r="520" s="21" customFormat="1" ht="13.8"/>
    <row r="521" s="21" customFormat="1" ht="13.8"/>
    <row r="522" s="21" customFormat="1" ht="13.8"/>
    <row r="523" s="21" customFormat="1" ht="13.8"/>
    <row r="524" s="21" customFormat="1" ht="13.8"/>
    <row r="525" s="21" customFormat="1" ht="13.8"/>
    <row r="526" s="21" customFormat="1" ht="13.8"/>
    <row r="527" s="21" customFormat="1" ht="13.8"/>
    <row r="528" s="21" customFormat="1" ht="13.8"/>
    <row r="529" s="21" customFormat="1" ht="13.8"/>
    <row r="530" s="21" customFormat="1" ht="13.8"/>
    <row r="531" s="21" customFormat="1" ht="13.8"/>
    <row r="532" s="21" customFormat="1" ht="13.8"/>
    <row r="533" s="21" customFormat="1" ht="13.8"/>
    <row r="534" s="21" customFormat="1" ht="13.8"/>
    <row r="535" s="21" customFormat="1" ht="13.8"/>
    <row r="536" s="21" customFormat="1" ht="13.8"/>
    <row r="537" s="21" customFormat="1" ht="13.8"/>
    <row r="538" s="21" customFormat="1" ht="13.8"/>
    <row r="539" s="21" customFormat="1" ht="13.8"/>
    <row r="540" s="21" customFormat="1" ht="13.8"/>
    <row r="541" s="21" customFormat="1" ht="13.8"/>
    <row r="542" s="21" customFormat="1" ht="13.8"/>
    <row r="543" s="21" customFormat="1" ht="13.8"/>
    <row r="544" s="21" customFormat="1" ht="13.8"/>
    <row r="545" s="21" customFormat="1" ht="13.8"/>
    <row r="546" s="21" customFormat="1" ht="13.8"/>
    <row r="547" s="21" customFormat="1" ht="13.8"/>
    <row r="548" s="21" customFormat="1" ht="13.8"/>
    <row r="549" s="21" customFormat="1" ht="13.8"/>
    <row r="550" s="21" customFormat="1" ht="13.8"/>
    <row r="551" s="21" customFormat="1" ht="13.8"/>
    <row r="552" s="21" customFormat="1" ht="13.8"/>
    <row r="553" s="21" customFormat="1" ht="13.8"/>
    <row r="554" s="21" customFormat="1" ht="13.8"/>
    <row r="555" s="21" customFormat="1" ht="13.8"/>
    <row r="556" s="21" customFormat="1" ht="13.8"/>
    <row r="557" s="21" customFormat="1" ht="13.8"/>
    <row r="558" s="21" customFormat="1" ht="13.8"/>
    <row r="559" s="21" customFormat="1" ht="13.8"/>
    <row r="560" s="21" customFormat="1" ht="13.8"/>
    <row r="561" s="21" customFormat="1" ht="13.8"/>
    <row r="562" s="21" customFormat="1" ht="13.8"/>
    <row r="563" s="21" customFormat="1" ht="13.8"/>
    <row r="564" s="21" customFormat="1" ht="13.8"/>
    <row r="565" s="21" customFormat="1" ht="13.8"/>
    <row r="566" s="21" customFormat="1" ht="13.8"/>
    <row r="567" s="21" customFormat="1" ht="13.8"/>
    <row r="568" s="21" customFormat="1" ht="13.8"/>
    <row r="569" s="21" customFormat="1" ht="13.8"/>
    <row r="570" s="21" customFormat="1" ht="13.8"/>
    <row r="571" s="21" customFormat="1" ht="13.8"/>
    <row r="572" s="21" customFormat="1" ht="13.8"/>
    <row r="573" s="21" customFormat="1" ht="13.8"/>
    <row r="574" s="21" customFormat="1" ht="13.8"/>
    <row r="575" s="21" customFormat="1" ht="13.8"/>
    <row r="576" s="21" customFormat="1" ht="13.8"/>
    <row r="577" s="21" customFormat="1" ht="13.8"/>
    <row r="578" s="21" customFormat="1" ht="13.8"/>
    <row r="579" s="21" customFormat="1" ht="13.8"/>
    <row r="580" s="21" customFormat="1" ht="13.8"/>
    <row r="581" s="21" customFormat="1" ht="13.8"/>
    <row r="582" s="21" customFormat="1" ht="13.8"/>
    <row r="583" s="21" customFormat="1" ht="13.8"/>
    <row r="584" s="21" customFormat="1" ht="13.8"/>
    <row r="585" s="21" customFormat="1" ht="13.8"/>
    <row r="586" s="21" customFormat="1" ht="13.8"/>
    <row r="587" s="21" customFormat="1" ht="13.8"/>
    <row r="588" s="21" customFormat="1" ht="13.8"/>
    <row r="589" s="21" customFormat="1" ht="13.8"/>
    <row r="590" s="21" customFormat="1" ht="13.8"/>
    <row r="591" s="21" customFormat="1" ht="13.8"/>
    <row r="592" s="21" customFormat="1" ht="13.8"/>
    <row r="593" s="21" customFormat="1" ht="13.8"/>
    <row r="594" s="21" customFormat="1" ht="13.8"/>
    <row r="595" s="21" customFormat="1" ht="13.8"/>
    <row r="596" s="21" customFormat="1" ht="13.8"/>
    <row r="597" s="21" customFormat="1" ht="13.8"/>
    <row r="598" s="21" customFormat="1" ht="13.8"/>
    <row r="599" s="21" customFormat="1" ht="13.8"/>
    <row r="600" s="21" customFormat="1" ht="13.8"/>
    <row r="601" s="21" customFormat="1" ht="13.8"/>
    <row r="602" s="21" customFormat="1" ht="13.8"/>
    <row r="603" s="21" customFormat="1" ht="13.8"/>
    <row r="604" s="21" customFormat="1" ht="13.8"/>
    <row r="605" s="21" customFormat="1" ht="13.8"/>
    <row r="606" s="21" customFormat="1" ht="13.8"/>
    <row r="607" s="21" customFormat="1" ht="13.8"/>
    <row r="608" s="21" customFormat="1" ht="13.8"/>
    <row r="609" s="21" customFormat="1" ht="13.8"/>
    <row r="610" s="21" customFormat="1" ht="13.8"/>
    <row r="611" s="21" customFormat="1" ht="13.8"/>
    <row r="612" s="21" customFormat="1" ht="13.8"/>
    <row r="613" s="21" customFormat="1" ht="13.8"/>
    <row r="614" s="21" customFormat="1" ht="13.8"/>
    <row r="615" s="21" customFormat="1" ht="13.8"/>
    <row r="616" s="21" customFormat="1" ht="13.8"/>
    <row r="617" s="21" customFormat="1" ht="13.8"/>
    <row r="618" s="21" customFormat="1" ht="13.8"/>
    <row r="619" s="21" customFormat="1" ht="13.8"/>
    <row r="620" s="21" customFormat="1" ht="13.8"/>
    <row r="621" s="21" customFormat="1" ht="13.8"/>
    <row r="622" s="21" customFormat="1" ht="13.8"/>
    <row r="623" s="21" customFormat="1" ht="13.8"/>
    <row r="624" s="21" customFormat="1" ht="13.8"/>
    <row r="625" s="21" customFormat="1" ht="13.8"/>
    <row r="626" s="21" customFormat="1" ht="13.8"/>
    <row r="627" s="21" customFormat="1" ht="13.8"/>
    <row r="628" s="21" customFormat="1" ht="13.8"/>
    <row r="629" s="21" customFormat="1" ht="13.8"/>
    <row r="630" s="21" customFormat="1" ht="13.8"/>
    <row r="631" s="21" customFormat="1" ht="13.8"/>
    <row r="632" s="21" customFormat="1" ht="13.8"/>
    <row r="633" s="21" customFormat="1" ht="13.8"/>
    <row r="634" s="21" customFormat="1" ht="13.8"/>
    <row r="635" s="21" customFormat="1" ht="13.8"/>
    <row r="636" s="21" customFormat="1" ht="13.8"/>
    <row r="637" s="21" customFormat="1" ht="13.8"/>
    <row r="638" s="21" customFormat="1" ht="13.8"/>
    <row r="639" s="21" customFormat="1" ht="13.8"/>
    <row r="640" s="21" customFormat="1" ht="13.8"/>
    <row r="641" s="21" customFormat="1" ht="13.8"/>
    <row r="642" s="21" customFormat="1" ht="13.8"/>
    <row r="643" s="21" customFormat="1" ht="13.8"/>
    <row r="644" s="21" customFormat="1" ht="13.8"/>
    <row r="645" s="21" customFormat="1" ht="13.8"/>
    <row r="646" s="21" customFormat="1" ht="13.8"/>
    <row r="647" s="21" customFormat="1" ht="13.8"/>
    <row r="648" s="21" customFormat="1" ht="13.8"/>
    <row r="649" s="21" customFormat="1" ht="13.8"/>
    <row r="650" s="21" customFormat="1" ht="13.8"/>
    <row r="651" s="21" customFormat="1" ht="13.8"/>
    <row r="652" s="21" customFormat="1" ht="13.8"/>
    <row r="653" s="21" customFormat="1" ht="13.8"/>
    <row r="654" s="21" customFormat="1" ht="13.8"/>
    <row r="655" s="21" customFormat="1" ht="13.8"/>
    <row r="656" s="21" customFormat="1" ht="13.8"/>
    <row r="657" s="21" customFormat="1" ht="13.8"/>
    <row r="658" s="21" customFormat="1" ht="13.8"/>
    <row r="659" s="21" customFormat="1" ht="13.8"/>
    <row r="660" s="21" customFormat="1" ht="13.8"/>
    <row r="661" s="21" customFormat="1" ht="13.8"/>
    <row r="662" s="21" customFormat="1" ht="13.8"/>
    <row r="663" s="21" customFormat="1" ht="13.8"/>
    <row r="664" s="21" customFormat="1" ht="13.8"/>
    <row r="665" s="21" customFormat="1" ht="13.8"/>
    <row r="666" s="21" customFormat="1" ht="13.8"/>
    <row r="667" s="21" customFormat="1" ht="13.8"/>
    <row r="668" s="21" customFormat="1" ht="13.8"/>
    <row r="669" s="21" customFormat="1" ht="13.8"/>
    <row r="670" s="21" customFormat="1" ht="13.8"/>
    <row r="671" s="21" customFormat="1" ht="13.8"/>
    <row r="672" s="21" customFormat="1" ht="13.8"/>
    <row r="673" s="21" customFormat="1" ht="13.8"/>
    <row r="674" s="21" customFormat="1" ht="13.8"/>
    <row r="675" s="21" customFormat="1" ht="13.8"/>
    <row r="676" s="21" customFormat="1" ht="13.8"/>
    <row r="677" s="21" customFormat="1" ht="13.8"/>
    <row r="678" s="21" customFormat="1" ht="13.8"/>
    <row r="679" s="21" customFormat="1" ht="13.8"/>
    <row r="680" s="21" customFormat="1" ht="13.8"/>
    <row r="681" s="21" customFormat="1" ht="13.8"/>
    <row r="682" s="21" customFormat="1" ht="13.8"/>
    <row r="683" s="21" customFormat="1" ht="13.8"/>
    <row r="684" s="21" customFormat="1" ht="13.8"/>
    <row r="685" s="21" customFormat="1" ht="13.8"/>
    <row r="686" s="21" customFormat="1" ht="13.8"/>
    <row r="687" s="21" customFormat="1" ht="13.8"/>
    <row r="688" s="21" customFormat="1" ht="13.8"/>
    <row r="689" s="21" customFormat="1" ht="13.8"/>
    <row r="690" s="21" customFormat="1" ht="13.8"/>
    <row r="691" s="21" customFormat="1" ht="13.8"/>
    <row r="692" s="21" customFormat="1" ht="13.8"/>
    <row r="693" s="21" customFormat="1" ht="13.8"/>
    <row r="694" s="21" customFormat="1" ht="13.8"/>
    <row r="695" s="21" customFormat="1" ht="13.8"/>
    <row r="696" s="21" customFormat="1" ht="13.8"/>
    <row r="697" s="21" customFormat="1" ht="13.8"/>
    <row r="698" s="21" customFormat="1" ht="13.8"/>
    <row r="699" s="21" customFormat="1" ht="13.8"/>
    <row r="700" s="21" customFormat="1" ht="13.8"/>
    <row r="701" s="21" customFormat="1" ht="13.8"/>
    <row r="702" s="21" customFormat="1" ht="13.8"/>
    <row r="703" s="21" customFormat="1" ht="13.8"/>
    <row r="704" s="21" customFormat="1" ht="13.8"/>
    <row r="705" s="21" customFormat="1" ht="13.8"/>
    <row r="706" s="21" customFormat="1" ht="13.8"/>
    <row r="707" s="21" customFormat="1" ht="13.8"/>
    <row r="708" s="21" customFormat="1" ht="13.8"/>
    <row r="709" s="21" customFormat="1" ht="13.8"/>
    <row r="710" s="21" customFormat="1" ht="13.8"/>
    <row r="711" s="21" customFormat="1" ht="13.8"/>
    <row r="712" s="21" customFormat="1" ht="13.8"/>
    <row r="713" s="21" customFormat="1" ht="13.8"/>
    <row r="714" s="21" customFormat="1" ht="13.8"/>
    <row r="715" s="21" customFormat="1" ht="13.8"/>
    <row r="716" s="21" customFormat="1" ht="13.8"/>
    <row r="717" s="21" customFormat="1" ht="13.8"/>
    <row r="718" s="21" customFormat="1" ht="13.8"/>
    <row r="719" s="21" customFormat="1" ht="13.8"/>
    <row r="720" s="21" customFormat="1" ht="13.8"/>
    <row r="721" s="21" customFormat="1" ht="13.8"/>
    <row r="722" s="21" customFormat="1" ht="13.8"/>
    <row r="723" s="21" customFormat="1" ht="13.8"/>
    <row r="724" s="21" customFormat="1" ht="13.8"/>
    <row r="725" s="21" customFormat="1" ht="13.8"/>
    <row r="726" s="21" customFormat="1" ht="13.8"/>
    <row r="727" s="21" customFormat="1" ht="13.8"/>
    <row r="728" s="21" customFormat="1" ht="13.8"/>
    <row r="729" s="21" customFormat="1" ht="13.8"/>
    <row r="730" s="21" customFormat="1" ht="13.8"/>
    <row r="731" s="21" customFormat="1" ht="13.8"/>
    <row r="732" s="21" customFormat="1" ht="13.8"/>
    <row r="733" s="21" customFormat="1" ht="13.8"/>
    <row r="734" s="21" customFormat="1" ht="13.8"/>
    <row r="735" s="21" customFormat="1" ht="13.8"/>
    <row r="736" s="21" customFormat="1" ht="13.8"/>
    <row r="737" s="21" customFormat="1" ht="13.8"/>
    <row r="738" s="21" customFormat="1" ht="13.8"/>
    <row r="739" s="21" customFormat="1" ht="13.8"/>
    <row r="740" s="21" customFormat="1" ht="13.8"/>
    <row r="741" s="21" customFormat="1" ht="13.8"/>
    <row r="742" s="21" customFormat="1" ht="13.8"/>
    <row r="743" s="21" customFormat="1" ht="13.8"/>
    <row r="744" s="21" customFormat="1" ht="13.8"/>
    <row r="745" s="21" customFormat="1" ht="13.8"/>
    <row r="746" s="21" customFormat="1" ht="13.8"/>
    <row r="747" s="21" customFormat="1" ht="13.8"/>
    <row r="748" s="21" customFormat="1" ht="13.8"/>
    <row r="749" s="21" customFormat="1" ht="13.8"/>
    <row r="750" s="21" customFormat="1" ht="13.8"/>
    <row r="751" s="21" customFormat="1" ht="13.8"/>
    <row r="752" s="21" customFormat="1" ht="13.8"/>
    <row r="753" s="21" customFormat="1" ht="13.8"/>
    <row r="754" s="21" customFormat="1" ht="13.8"/>
    <row r="755" s="21" customFormat="1" ht="13.8"/>
    <row r="756" s="21" customFormat="1" ht="13.8"/>
    <row r="757" s="21" customFormat="1" ht="13.8"/>
    <row r="758" s="21" customFormat="1" ht="13.8"/>
    <row r="759" s="21" customFormat="1" ht="13.8"/>
    <row r="760" s="21" customFormat="1" ht="13.8"/>
    <row r="761" s="21" customFormat="1" ht="13.8"/>
    <row r="762" s="21" customFormat="1" ht="13.8"/>
    <row r="763" s="21" customFormat="1" ht="13.8"/>
    <row r="764" s="21" customFormat="1" ht="13.8"/>
    <row r="765" s="21" customFormat="1" ht="13.8"/>
    <row r="766" s="21" customFormat="1" ht="13.8"/>
    <row r="767" s="21" customFormat="1" ht="13.8"/>
    <row r="768" s="21" customFormat="1" ht="13.8"/>
    <row r="769" s="21" customFormat="1" ht="13.8"/>
    <row r="770" s="21" customFormat="1" ht="13.8"/>
    <row r="771" s="21" customFormat="1" ht="13.8"/>
    <row r="772" s="21" customFormat="1" ht="13.8"/>
    <row r="773" s="21" customFormat="1" ht="13.8"/>
    <row r="774" s="21" customFormat="1" ht="13.8"/>
    <row r="775" s="21" customFormat="1" ht="13.8"/>
    <row r="776" s="21" customFormat="1" ht="13.8"/>
    <row r="777" s="21" customFormat="1" ht="13.8"/>
    <row r="778" s="21" customFormat="1" ht="13.8"/>
    <row r="779" s="21" customFormat="1" ht="13.8"/>
    <row r="780" s="21" customFormat="1" ht="13.8"/>
    <row r="781" s="21" customFormat="1" ht="13.8"/>
    <row r="782" s="21" customFormat="1" ht="13.8"/>
    <row r="783" s="21" customFormat="1" ht="13.8"/>
    <row r="784" s="21" customFormat="1" ht="13.8"/>
    <row r="785" s="21" customFormat="1" ht="13.8"/>
    <row r="786" s="21" customFormat="1" ht="13.8"/>
    <row r="787" s="21" customFormat="1" ht="13.8"/>
    <row r="788" s="21" customFormat="1" ht="13.8"/>
    <row r="789" s="21" customFormat="1" ht="13.8"/>
    <row r="790" s="21" customFormat="1" ht="13.8"/>
    <row r="791" s="21" customFormat="1" ht="13.8"/>
    <row r="792" s="21" customFormat="1" ht="13.8"/>
    <row r="793" s="21" customFormat="1" ht="13.8"/>
    <row r="794" s="21" customFormat="1" ht="13.8"/>
    <row r="795" s="21" customFormat="1" ht="13.8"/>
    <row r="796" s="21" customFormat="1" ht="13.8"/>
    <row r="797" s="21" customFormat="1" ht="13.8"/>
    <row r="798" s="21" customFormat="1" ht="13.8"/>
    <row r="799" s="21" customFormat="1" ht="13.8"/>
    <row r="800" s="21" customFormat="1" ht="13.8"/>
    <row r="801" s="21" customFormat="1" ht="13.8"/>
    <row r="802" s="21" customFormat="1" ht="13.8"/>
    <row r="803" s="21" customFormat="1" ht="13.8"/>
    <row r="804" s="21" customFormat="1" ht="13.8"/>
    <row r="805" s="21" customFormat="1" ht="13.8"/>
    <row r="806" s="21" customFormat="1" ht="13.8"/>
    <row r="807" s="21" customFormat="1" ht="13.8"/>
    <row r="808" s="21" customFormat="1" ht="13.8"/>
    <row r="809" s="21" customFormat="1" ht="13.8"/>
    <row r="810" s="21" customFormat="1" ht="13.8"/>
    <row r="811" s="21" customFormat="1" ht="13.8"/>
    <row r="812" s="21" customFormat="1" ht="13.8"/>
    <row r="813" s="21" customFormat="1" ht="13.8"/>
    <row r="814" s="21" customFormat="1" ht="13.8"/>
    <row r="815" s="21" customFormat="1" ht="13.8"/>
    <row r="816" s="21" customFormat="1" ht="13.8"/>
    <row r="817" s="21" customFormat="1" ht="13.8"/>
    <row r="818" s="21" customFormat="1" ht="13.8"/>
    <row r="819" s="21" customFormat="1" ht="13.8"/>
    <row r="820" s="21" customFormat="1" ht="13.8"/>
    <row r="821" s="21" customFormat="1" ht="13.8"/>
    <row r="822" s="21" customFormat="1" ht="13.8"/>
    <row r="823" s="21" customFormat="1" ht="13.8"/>
    <row r="824" s="21" customFormat="1" ht="13.8"/>
    <row r="825" s="21" customFormat="1" ht="13.8"/>
    <row r="826" s="21" customFormat="1" ht="13.8"/>
    <row r="827" s="21" customFormat="1" ht="13.8"/>
    <row r="828" s="21" customFormat="1" ht="13.8"/>
    <row r="829" s="21" customFormat="1" ht="13.8"/>
    <row r="830" s="21" customFormat="1" ht="13.8"/>
    <row r="831" s="21" customFormat="1" ht="13.8"/>
    <row r="832" s="21" customFormat="1" ht="13.8"/>
    <row r="833" s="21" customFormat="1" ht="13.8"/>
    <row r="834" s="21" customFormat="1" ht="13.8"/>
    <row r="835" s="21" customFormat="1" ht="13.8"/>
    <row r="836" s="21" customFormat="1" ht="13.8"/>
    <row r="837" s="21" customFormat="1" ht="13.8"/>
    <row r="838" s="21" customFormat="1" ht="13.8"/>
    <row r="839" s="21" customFormat="1" ht="13.8"/>
    <row r="840" s="21" customFormat="1" ht="13.8"/>
    <row r="841" s="21" customFormat="1" ht="13.8"/>
    <row r="842" s="21" customFormat="1" ht="13.8"/>
    <row r="843" s="21" customFormat="1" ht="13.8"/>
    <row r="844" s="21" customFormat="1" ht="13.8"/>
    <row r="845" s="21" customFormat="1" ht="13.8"/>
    <row r="846" s="21" customFormat="1" ht="13.8"/>
    <row r="847" s="21" customFormat="1" ht="13.8"/>
    <row r="848" s="21" customFormat="1" ht="13.8"/>
    <row r="849" s="21" customFormat="1" ht="13.8"/>
    <row r="850" s="21" customFormat="1" ht="13.8"/>
    <row r="851" s="21" customFormat="1" ht="13.8"/>
    <row r="852" s="21" customFormat="1" ht="13.8"/>
    <row r="853" s="21" customFormat="1" ht="13.8"/>
    <row r="854" s="21" customFormat="1" ht="13.8"/>
    <row r="855" s="21" customFormat="1" ht="13.8"/>
    <row r="856" s="21" customFormat="1" ht="13.8"/>
    <row r="857" s="21" customFormat="1" ht="13.8"/>
    <row r="858" s="21" customFormat="1" ht="13.8"/>
    <row r="859" s="21" customFormat="1" ht="13.8"/>
    <row r="860" s="21" customFormat="1" ht="13.8"/>
    <row r="861" s="21" customFormat="1" ht="13.8"/>
    <row r="862" s="21" customFormat="1" ht="13.8"/>
    <row r="863" s="21" customFormat="1" ht="13.8"/>
    <row r="864" s="21" customFormat="1" ht="13.8"/>
    <row r="865" s="21" customFormat="1" ht="13.8"/>
    <row r="866" s="21" customFormat="1" ht="13.8"/>
    <row r="867" s="21" customFormat="1" ht="13.8"/>
    <row r="868" s="21" customFormat="1" ht="13.8"/>
    <row r="869" s="21" customFormat="1" ht="13.8"/>
    <row r="870" s="21" customFormat="1" ht="13.8"/>
    <row r="871" s="21" customFormat="1" ht="13.8"/>
    <row r="872" s="21" customFormat="1" ht="13.8"/>
    <row r="873" s="21" customFormat="1" ht="13.8"/>
    <row r="874" s="21" customFormat="1" ht="13.8"/>
    <row r="875" s="21" customFormat="1" ht="13.8"/>
    <row r="876" s="21" customFormat="1" ht="13.8"/>
    <row r="877" s="21" customFormat="1" ht="13.8"/>
    <row r="878" s="21" customFormat="1" ht="13.8"/>
    <row r="879" s="21" customFormat="1" ht="13.8"/>
    <row r="880" s="21" customFormat="1" ht="13.8"/>
    <row r="881" s="21" customFormat="1" ht="13.8"/>
    <row r="882" s="21" customFormat="1" ht="13.8"/>
    <row r="883" s="21" customFormat="1" ht="13.8"/>
    <row r="884" s="21" customFormat="1" ht="13.8"/>
    <row r="885" s="21" customFormat="1" ht="13.8"/>
    <row r="886" s="21" customFormat="1" ht="13.8"/>
    <row r="887" s="21" customFormat="1" ht="13.8"/>
    <row r="888" s="21" customFormat="1" ht="13.8"/>
    <row r="889" s="21" customFormat="1" ht="13.8"/>
    <row r="890" s="21" customFormat="1" ht="13.8"/>
    <row r="891" s="21" customFormat="1" ht="13.8"/>
    <row r="892" s="21" customFormat="1" ht="13.8"/>
    <row r="893" s="21" customFormat="1" ht="13.8"/>
    <row r="894" s="21" customFormat="1" ht="13.8"/>
    <row r="895" s="21" customFormat="1" ht="13.8"/>
    <row r="896" s="21" customFormat="1" ht="13.8"/>
    <row r="897" s="21" customFormat="1" ht="13.8"/>
    <row r="898" s="21" customFormat="1" ht="13.8"/>
    <row r="899" s="21" customFormat="1" ht="13.8"/>
    <row r="900" s="21" customFormat="1" ht="13.8"/>
    <row r="901" s="21" customFormat="1" ht="13.8"/>
    <row r="902" s="21" customFormat="1" ht="13.8"/>
    <row r="903" s="21" customFormat="1" ht="13.8"/>
    <row r="904" s="21" customFormat="1" ht="13.8"/>
    <row r="905" s="21" customFormat="1" ht="13.8"/>
    <row r="906" s="21" customFormat="1" ht="13.8"/>
    <row r="907" s="21" customFormat="1" ht="13.8"/>
    <row r="908" s="21" customFormat="1" ht="13.8"/>
    <row r="909" s="21" customFormat="1" ht="13.8"/>
    <row r="910" s="21" customFormat="1" ht="13.8"/>
    <row r="911" s="21" customFormat="1" ht="13.8"/>
    <row r="912" s="21" customFormat="1" ht="13.8"/>
    <row r="913" s="21" customFormat="1" ht="13.8"/>
    <row r="914" s="21" customFormat="1" ht="13.8"/>
    <row r="915" s="21" customFormat="1" ht="13.8"/>
    <row r="916" s="21" customFormat="1" ht="13.8"/>
    <row r="917" s="21" customFormat="1" ht="13.8"/>
    <row r="918" s="21" customFormat="1" ht="13.8"/>
    <row r="919" s="21" customFormat="1" ht="13.8"/>
    <row r="920" s="21" customFormat="1" ht="13.8"/>
    <row r="921" s="21" customFormat="1" ht="13.8"/>
    <row r="922" s="21" customFormat="1" ht="13.8"/>
    <row r="923" s="21" customFormat="1" ht="13.8"/>
    <row r="924" s="21" customFormat="1" ht="13.8"/>
    <row r="925" s="21" customFormat="1" ht="13.8"/>
    <row r="926" s="21" customFormat="1" ht="13.8"/>
    <row r="927" s="21" customFormat="1" ht="13.8"/>
    <row r="928" s="21" customFormat="1" ht="13.8"/>
    <row r="929" s="21" customFormat="1" ht="13.8"/>
    <row r="930" s="21" customFormat="1" ht="13.8"/>
    <row r="931" s="21" customFormat="1" ht="13.8"/>
    <row r="932" s="21" customFormat="1" ht="13.8"/>
    <row r="933" s="21" customFormat="1" ht="13.8"/>
    <row r="934" s="21" customFormat="1" ht="13.8"/>
    <row r="935" s="21" customFormat="1" ht="13.8"/>
    <row r="936" s="21" customFormat="1" ht="13.8"/>
    <row r="937" s="21" customFormat="1" ht="13.8"/>
    <row r="938" s="21" customFormat="1" ht="13.8"/>
    <row r="939" s="21" customFormat="1" ht="13.8"/>
    <row r="940" s="21" customFormat="1" ht="13.8"/>
    <row r="941" s="21" customFormat="1" ht="13.8"/>
    <row r="942" s="21" customFormat="1" ht="13.8"/>
    <row r="943" s="21" customFormat="1" ht="13.8"/>
    <row r="944" s="21" customFormat="1" ht="13.8"/>
    <row r="945" s="21" customFormat="1" ht="13.8"/>
    <row r="946" s="21" customFormat="1" ht="13.8"/>
    <row r="947" s="21" customFormat="1" ht="13.8"/>
    <row r="948" s="21" customFormat="1" ht="13.8"/>
    <row r="949" s="21" customFormat="1" ht="13.8"/>
    <row r="950" s="21" customFormat="1" ht="13.8"/>
    <row r="951" s="21" customFormat="1" ht="13.8"/>
    <row r="952" s="21" customFormat="1" ht="13.8"/>
    <row r="953" s="21" customFormat="1" ht="13.8"/>
    <row r="954" s="21" customFormat="1" ht="13.8"/>
    <row r="955" s="21" customFormat="1" ht="13.8"/>
    <row r="956" s="21" customFormat="1" ht="13.8"/>
    <row r="957" s="21" customFormat="1" ht="13.8"/>
    <row r="958" s="21" customFormat="1" ht="13.8"/>
    <row r="959" s="21" customFormat="1" ht="13.8"/>
    <row r="960" s="21" customFormat="1" ht="13.8"/>
    <row r="961" s="21" customFormat="1" ht="13.8"/>
    <row r="962" s="21" customFormat="1" ht="13.8"/>
    <row r="963" s="21" customFormat="1" ht="13.8"/>
    <row r="964" s="21" customFormat="1" ht="13.8"/>
    <row r="965" s="21" customFormat="1" ht="13.8"/>
    <row r="966" s="21" customFormat="1" ht="13.8"/>
    <row r="967" s="21" customFormat="1" ht="13.8"/>
    <row r="968" s="21" customFormat="1" ht="13.8"/>
    <row r="969" s="21" customFormat="1" ht="13.8"/>
    <row r="970" s="21" customFormat="1" ht="13.8"/>
    <row r="971" s="21" customFormat="1" ht="13.8"/>
    <row r="972" s="21" customFormat="1" ht="13.8"/>
    <row r="973" s="21" customFormat="1" ht="13.8"/>
    <row r="974" s="21" customFormat="1" ht="13.8"/>
    <row r="975" s="21" customFormat="1" ht="13.8"/>
    <row r="976" s="21" customFormat="1" ht="13.8"/>
    <row r="977" s="21" customFormat="1" ht="13.8"/>
    <row r="978" s="21" customFormat="1" ht="13.8"/>
    <row r="979" s="21" customFormat="1" ht="13.8"/>
    <row r="980" s="21" customFormat="1" ht="13.8"/>
    <row r="981" s="21" customFormat="1" ht="13.8"/>
    <row r="982" s="21" customFormat="1" ht="13.8"/>
    <row r="983" s="21" customFormat="1" ht="13.8"/>
    <row r="984" s="21" customFormat="1" ht="13.8"/>
    <row r="985" s="21" customFormat="1" ht="13.8"/>
    <row r="986" s="21" customFormat="1" ht="13.8"/>
    <row r="987" s="21" customFormat="1" ht="13.8"/>
    <row r="988" s="21" customFormat="1" ht="13.8"/>
    <row r="989" s="21" customFormat="1" ht="13.8"/>
    <row r="990" s="21" customFormat="1" ht="13.8"/>
    <row r="991" s="21" customFormat="1" ht="13.8"/>
    <row r="992" s="21" customFormat="1" ht="13.8"/>
    <row r="993" s="21" customFormat="1" ht="13.8"/>
    <row r="994" s="21" customFormat="1" ht="13.8"/>
    <row r="995" s="21" customFormat="1" ht="13.8"/>
    <row r="996" s="21" customFormat="1" ht="13.8"/>
    <row r="997" s="21" customFormat="1" ht="13.8"/>
    <row r="998" s="21" customFormat="1" ht="13.8"/>
    <row r="999" s="21" customFormat="1" ht="13.8"/>
    <row r="1000" s="21" customFormat="1" ht="13.8"/>
    <row r="1001" s="21" customFormat="1" ht="13.8"/>
    <row r="1002" s="21" customFormat="1" ht="13.8"/>
    <row r="1003" s="21" customFormat="1" ht="13.8"/>
    <row r="1004" s="21" customFormat="1" ht="13.8"/>
    <row r="1005" s="21" customFormat="1" ht="13.8"/>
    <row r="1006" s="21" customFormat="1" ht="13.8"/>
    <row r="1007" s="21" customFormat="1" ht="13.8"/>
    <row r="1008" s="21" customFormat="1" ht="13.8"/>
    <row r="1009" s="21" customFormat="1" ht="13.8"/>
    <row r="1010" s="21" customFormat="1" ht="13.8"/>
    <row r="1011" s="21" customFormat="1" ht="13.8"/>
    <row r="1012" s="21" customFormat="1" ht="13.8"/>
    <row r="1013" s="21" customFormat="1" ht="13.8"/>
    <row r="1014" s="21" customFormat="1" ht="13.8"/>
    <row r="1015" s="21" customFormat="1" ht="13.8"/>
    <row r="1016" s="21" customFormat="1" ht="13.8"/>
    <row r="1017" s="21" customFormat="1" ht="13.8"/>
    <row r="1018" s="21" customFormat="1" ht="13.8"/>
    <row r="1019" s="21" customFormat="1" ht="13.8"/>
    <row r="1020" s="21" customFormat="1" ht="13.8"/>
    <row r="1021" s="21" customFormat="1" ht="13.8"/>
    <row r="1022" s="21" customFormat="1" ht="13.8"/>
    <row r="1023" s="21" customFormat="1" ht="13.8"/>
    <row r="1024" s="21" customFormat="1" ht="13.8"/>
    <row r="1025" s="21" customFormat="1" ht="13.8"/>
    <row r="1026" s="21" customFormat="1" ht="13.8"/>
    <row r="1027" s="21" customFormat="1" ht="13.8"/>
    <row r="1028" s="21" customFormat="1" ht="13.8"/>
    <row r="1029" s="21" customFormat="1" ht="13.8"/>
    <row r="1030" s="21" customFormat="1" ht="13.8"/>
    <row r="1031" s="21" customFormat="1" ht="13.8"/>
    <row r="1032" s="21" customFormat="1" ht="13.8"/>
    <row r="1033" s="21" customFormat="1" ht="13.8"/>
    <row r="1034" s="21" customFormat="1" ht="13.8"/>
    <row r="1035" s="21" customFormat="1" ht="13.8"/>
    <row r="1036" s="21" customFormat="1" ht="13.8"/>
    <row r="1037" s="21" customFormat="1" ht="13.8"/>
    <row r="1038" s="21" customFormat="1" ht="13.8"/>
    <row r="1039" s="21" customFormat="1" ht="13.8"/>
    <row r="1040" s="21" customFormat="1" ht="13.8"/>
    <row r="1041" s="21" customFormat="1" ht="13.8"/>
    <row r="1042" s="21" customFormat="1" ht="13.8"/>
    <row r="1043" s="21" customFormat="1" ht="13.8"/>
    <row r="1044" s="21" customFormat="1" ht="13.8"/>
    <row r="1045" s="21" customFormat="1" ht="13.8"/>
    <row r="1046" s="21" customFormat="1" ht="13.8"/>
    <row r="1047" s="21" customFormat="1" ht="13.8"/>
    <row r="1048" s="21" customFormat="1" ht="13.8"/>
    <row r="1049" s="21" customFormat="1" ht="13.8"/>
    <row r="1050" s="21" customFormat="1" ht="13.8"/>
    <row r="1051" s="21" customFormat="1" ht="13.8"/>
    <row r="1052" s="21" customFormat="1" ht="13.8"/>
    <row r="1053" s="21" customFormat="1" ht="13.8"/>
    <row r="1054" s="21" customFormat="1" ht="13.8"/>
    <row r="1055" s="21" customFormat="1" ht="13.8"/>
    <row r="1056" s="21" customFormat="1" ht="13.8"/>
    <row r="1057" s="21" customFormat="1" ht="13.8"/>
    <row r="1058" s="21" customFormat="1" ht="13.8"/>
    <row r="1059" s="21" customFormat="1" ht="13.8"/>
    <row r="1060" s="21" customFormat="1" ht="13.8"/>
    <row r="1061" s="21" customFormat="1" ht="13.8"/>
    <row r="1062" s="21" customFormat="1" ht="13.8"/>
    <row r="1063" s="21" customFormat="1" ht="13.8"/>
    <row r="1064" s="21" customFormat="1" ht="13.8"/>
    <row r="1065" s="21" customFormat="1" ht="13.8"/>
    <row r="1066" s="21" customFormat="1" ht="13.8"/>
    <row r="1067" s="21" customFormat="1" ht="13.8"/>
    <row r="1068" s="21" customFormat="1" ht="13.8"/>
    <row r="1069" s="21" customFormat="1" ht="13.8"/>
    <row r="1070" s="21" customFormat="1" ht="13.8"/>
    <row r="1071" s="21" customFormat="1" ht="13.8"/>
    <row r="1072" s="21" customFormat="1" ht="13.8"/>
    <row r="1073" s="21" customFormat="1" ht="13.8"/>
    <row r="1074" s="21" customFormat="1" ht="13.8"/>
    <row r="1075" s="21" customFormat="1" ht="13.8"/>
    <row r="1076" s="21" customFormat="1" ht="13.8"/>
    <row r="1077" s="21" customFormat="1" ht="13.8"/>
    <row r="1078" s="21" customFormat="1" ht="13.8"/>
    <row r="1079" s="21" customFormat="1" ht="13.8"/>
    <row r="1080" s="21" customFormat="1" ht="13.8"/>
    <row r="1081" s="21" customFormat="1" ht="13.8"/>
    <row r="1082" s="21" customFormat="1" ht="13.8"/>
    <row r="1083" s="21" customFormat="1" ht="13.8"/>
    <row r="1084" s="21" customFormat="1" ht="13.8"/>
    <row r="1085" s="21" customFormat="1" ht="13.8"/>
    <row r="1086" s="21" customFormat="1" ht="13.8"/>
    <row r="1087" s="21" customFormat="1" ht="13.8"/>
    <row r="1088" s="21" customFormat="1" ht="13.8"/>
    <row r="1089" s="21" customFormat="1" ht="13.8"/>
    <row r="1090" s="21" customFormat="1" ht="13.8"/>
    <row r="1091" s="21" customFormat="1" ht="13.8"/>
    <row r="1092" s="21" customFormat="1" ht="13.8"/>
    <row r="1093" s="21" customFormat="1" ht="13.8"/>
    <row r="1094" s="21" customFormat="1" ht="13.8"/>
    <row r="1095" s="21" customFormat="1" ht="13.8"/>
    <row r="1096" s="21" customFormat="1" ht="13.8"/>
    <row r="1097" s="21" customFormat="1" ht="13.8"/>
    <row r="1098" s="21" customFormat="1" ht="13.8"/>
    <row r="1099" s="21" customFormat="1" ht="13.8"/>
    <row r="1100" s="21" customFormat="1" ht="13.8"/>
    <row r="1101" s="21" customFormat="1" ht="13.8"/>
    <row r="1102" s="21" customFormat="1" ht="13.8"/>
    <row r="1103" s="21" customFormat="1" ht="13.8"/>
    <row r="1104" s="21" customFormat="1" ht="13.8"/>
    <row r="1105" s="21" customFormat="1" ht="13.8"/>
    <row r="1106" s="21" customFormat="1" ht="13.8"/>
    <row r="1107" s="21" customFormat="1" ht="13.8"/>
    <row r="1108" s="21" customFormat="1" ht="13.8"/>
    <row r="1109" s="21" customFormat="1" ht="13.8"/>
    <row r="1110" s="21" customFormat="1" ht="13.8"/>
    <row r="1111" s="21" customFormat="1" ht="13.8"/>
    <row r="1112" s="21" customFormat="1" ht="13.8"/>
    <row r="1113" s="21" customFormat="1" ht="13.8"/>
    <row r="1114" s="21" customFormat="1" ht="13.8"/>
    <row r="1115" s="21" customFormat="1" ht="13.8"/>
    <row r="1116" s="21" customFormat="1" ht="13.8"/>
    <row r="1117" s="21" customFormat="1" ht="13.8"/>
    <row r="1118" s="21" customFormat="1" ht="13.8"/>
    <row r="1119" s="21" customFormat="1" ht="13.8"/>
    <row r="1120" s="21" customFormat="1" ht="13.8"/>
    <row r="1121" s="21" customFormat="1" ht="13.8"/>
    <row r="1122" s="21" customFormat="1" ht="13.8"/>
    <row r="1123" s="21" customFormat="1" ht="13.8"/>
    <row r="1124" s="21" customFormat="1" ht="13.8"/>
    <row r="1125" s="21" customFormat="1" ht="13.8"/>
    <row r="1126" s="21" customFormat="1" ht="13.8"/>
    <row r="1127" s="21" customFormat="1" ht="13.8"/>
    <row r="1128" s="21" customFormat="1" ht="13.8"/>
    <row r="1129" s="21" customFormat="1" ht="13.8"/>
    <row r="1130" s="21" customFormat="1" ht="13.8"/>
    <row r="1131" s="21" customFormat="1" ht="13.8"/>
    <row r="1132" s="21" customFormat="1" ht="13.8"/>
    <row r="1133" s="21" customFormat="1" ht="13.8"/>
    <row r="1134" s="21" customFormat="1" ht="13.8"/>
    <row r="1135" s="21" customFormat="1" ht="13.8"/>
    <row r="1136" s="21" customFormat="1" ht="13.8"/>
    <row r="1137" s="21" customFormat="1" ht="13.8"/>
    <row r="1138" s="21" customFormat="1" ht="13.8"/>
    <row r="1139" s="21" customFormat="1" ht="13.8"/>
    <row r="1140" s="21" customFormat="1" ht="13.8"/>
    <row r="1141" s="21" customFormat="1" ht="13.8"/>
    <row r="1142" s="21" customFormat="1" ht="13.8"/>
    <row r="1143" s="21" customFormat="1" ht="13.8"/>
    <row r="1144" s="21" customFormat="1" ht="13.8"/>
    <row r="1145" s="21" customFormat="1" ht="13.8"/>
    <row r="1146" s="21" customFormat="1" ht="13.8"/>
    <row r="1147" s="21" customFormat="1" ht="13.8"/>
    <row r="1148" s="21" customFormat="1" ht="13.8"/>
    <row r="1149" s="21" customFormat="1" ht="13.8"/>
    <row r="1150" s="21" customFormat="1" ht="13.8"/>
    <row r="1151" s="21" customFormat="1" ht="13.8"/>
    <row r="1152" s="21" customFormat="1" ht="13.8"/>
    <row r="1153" s="21" customFormat="1" ht="13.8"/>
    <row r="1154" s="21" customFormat="1" ht="13.8"/>
    <row r="1155" s="21" customFormat="1" ht="13.8"/>
    <row r="1156" s="21" customFormat="1" ht="13.8"/>
    <row r="1157" s="21" customFormat="1" ht="13.8"/>
    <row r="1158" s="21" customFormat="1" ht="13.8"/>
    <row r="1159" s="21" customFormat="1" ht="13.8"/>
    <row r="1160" s="21" customFormat="1" ht="13.8"/>
    <row r="1161" s="21" customFormat="1" ht="13.8"/>
    <row r="1162" s="21" customFormat="1" ht="13.8"/>
    <row r="1163" s="21" customFormat="1" ht="13.8"/>
    <row r="1164" s="21" customFormat="1" ht="13.8"/>
    <row r="1165" s="21" customFormat="1" ht="13.8"/>
    <row r="1166" s="21" customFormat="1" ht="13.8"/>
    <row r="1167" s="21" customFormat="1" ht="13.8"/>
    <row r="1168" s="21" customFormat="1" ht="13.8"/>
    <row r="1169" s="21" customFormat="1" ht="13.8"/>
    <row r="1170" s="21" customFormat="1" ht="13.8"/>
    <row r="1171" s="21" customFormat="1" ht="13.8"/>
    <row r="1172" s="21" customFormat="1" ht="13.8"/>
    <row r="1173" s="21" customFormat="1" ht="13.8"/>
    <row r="1174" s="21" customFormat="1" ht="13.8"/>
    <row r="1175" s="21" customFormat="1" ht="13.8"/>
    <row r="1176" s="21" customFormat="1" ht="13.8"/>
    <row r="1177" s="21" customFormat="1" ht="13.8"/>
    <row r="1178" s="21" customFormat="1" ht="13.8"/>
    <row r="1179" s="21" customFormat="1" ht="13.8"/>
    <row r="1180" s="21" customFormat="1" ht="13.8"/>
    <row r="1181" s="21" customFormat="1" ht="13.8"/>
    <row r="1182" s="21" customFormat="1" ht="13.8"/>
    <row r="1183" s="21" customFormat="1" ht="13.8"/>
    <row r="1184" s="21" customFormat="1" ht="13.8"/>
    <row r="1185" s="21" customFormat="1" ht="13.8"/>
    <row r="1186" s="21" customFormat="1" ht="13.8"/>
    <row r="1187" s="21" customFormat="1" ht="13.8"/>
    <row r="1188" s="21" customFormat="1" ht="13.8"/>
    <row r="1189" s="21" customFormat="1" ht="13.8"/>
    <row r="1190" s="21" customFormat="1" ht="13.8"/>
    <row r="1191" s="21" customFormat="1" ht="13.8"/>
    <row r="1192" s="21" customFormat="1" ht="13.8"/>
    <row r="1193" s="21" customFormat="1" ht="13.8"/>
    <row r="1194" s="21" customFormat="1" ht="13.8"/>
    <row r="1195" s="21" customFormat="1" ht="13.8"/>
    <row r="1196" s="21" customFormat="1" ht="13.8"/>
    <row r="1197" s="21" customFormat="1" ht="13.8"/>
    <row r="1198" s="21" customFormat="1" ht="13.8"/>
    <row r="1199" s="21" customFormat="1" ht="13.8"/>
    <row r="1200" s="21" customFormat="1" ht="13.8"/>
    <row r="1201" s="21" customFormat="1" ht="13.8"/>
    <row r="1202" s="21" customFormat="1" ht="13.8"/>
    <row r="1203" s="21" customFormat="1" ht="13.8"/>
    <row r="1204" s="21" customFormat="1" ht="13.8"/>
    <row r="1205" s="21" customFormat="1" ht="13.8"/>
    <row r="1206" s="21" customFormat="1" ht="13.8"/>
    <row r="1207" s="21" customFormat="1" ht="13.8"/>
    <row r="1208" s="21" customFormat="1" ht="13.8"/>
    <row r="1209" s="21" customFormat="1" ht="13.8"/>
    <row r="1210" s="21" customFormat="1" ht="13.8"/>
    <row r="1211" s="21" customFormat="1" ht="13.8"/>
    <row r="1212" s="21" customFormat="1" ht="13.8"/>
    <row r="1213" s="21" customFormat="1" ht="13.8"/>
    <row r="1214" s="21" customFormat="1" ht="13.8"/>
    <row r="1215" s="21" customFormat="1" ht="13.8"/>
    <row r="1216" s="21" customFormat="1" ht="13.8"/>
    <row r="1217" s="21" customFormat="1" ht="13.8"/>
    <row r="1218" s="21" customFormat="1" ht="13.8"/>
    <row r="1219" s="21" customFormat="1" ht="13.8"/>
    <row r="1220" s="21" customFormat="1" ht="13.8"/>
    <row r="1221" s="21" customFormat="1" ht="13.8"/>
    <row r="1222" s="21" customFormat="1" ht="13.8"/>
    <row r="1223" s="21" customFormat="1" ht="13.8"/>
    <row r="1224" s="21" customFormat="1" ht="13.8"/>
    <row r="1225" s="21" customFormat="1" ht="13.8"/>
    <row r="1226" s="21" customFormat="1" ht="13.8"/>
    <row r="1227" s="21" customFormat="1" ht="13.8"/>
    <row r="1228" s="21" customFormat="1" ht="13.8"/>
    <row r="1229" s="21" customFormat="1" ht="13.8"/>
    <row r="1230" s="21" customFormat="1" ht="13.8"/>
    <row r="1231" s="21" customFormat="1" ht="13.8"/>
    <row r="1232" s="21" customFormat="1" ht="13.8"/>
    <row r="1233" s="21" customFormat="1" ht="13.8"/>
    <row r="1234" s="21" customFormat="1" ht="13.8"/>
    <row r="1235" s="21" customFormat="1" ht="13.8"/>
    <row r="1236" s="21" customFormat="1" ht="13.8"/>
    <row r="1237" s="21" customFormat="1" ht="13.8"/>
    <row r="1238" s="21" customFormat="1" ht="13.8"/>
    <row r="1239" s="21" customFormat="1" ht="13.8"/>
    <row r="1240" s="21" customFormat="1" ht="13.8"/>
    <row r="1241" s="21" customFormat="1" ht="13.8"/>
    <row r="1242" s="21" customFormat="1" ht="13.8"/>
    <row r="1243" s="21" customFormat="1" ht="13.8"/>
    <row r="1244" s="21" customFormat="1" ht="13.8"/>
    <row r="1245" s="21" customFormat="1" ht="13.8"/>
    <row r="1246" s="21" customFormat="1" ht="13.8"/>
    <row r="1247" s="21" customFormat="1" ht="13.8"/>
    <row r="1248" s="21" customFormat="1" ht="13.8"/>
    <row r="1249" s="21" customFormat="1" ht="13.8"/>
    <row r="1250" s="21" customFormat="1" ht="13.8"/>
    <row r="1251" s="21" customFormat="1" ht="13.8"/>
    <row r="1252" s="21" customFormat="1" ht="13.8"/>
    <row r="1253" s="21" customFormat="1" ht="13.8"/>
    <row r="1254" s="21" customFormat="1" ht="13.8"/>
    <row r="1255" s="21" customFormat="1" ht="13.8"/>
    <row r="1256" s="21" customFormat="1" ht="13.8"/>
    <row r="1257" s="21" customFormat="1" ht="13.8"/>
    <row r="1258" s="21" customFormat="1" ht="13.8"/>
    <row r="1259" s="21" customFormat="1" ht="13.8"/>
    <row r="1260" s="21" customFormat="1" ht="13.8"/>
    <row r="1261" s="21" customFormat="1" ht="13.8"/>
    <row r="1262" s="21" customFormat="1" ht="13.8"/>
    <row r="1263" s="21" customFormat="1" ht="13.8"/>
    <row r="1264" s="21" customFormat="1" ht="13.8"/>
    <row r="1265" s="21" customFormat="1" ht="13.8"/>
    <row r="1266" s="21" customFormat="1" ht="13.8"/>
    <row r="1267" s="21" customFormat="1" ht="13.8"/>
    <row r="1268" s="21" customFormat="1" ht="13.8"/>
    <row r="1269" s="21" customFormat="1" ht="13.8"/>
    <row r="1270" s="21" customFormat="1" ht="13.8"/>
    <row r="1271" s="21" customFormat="1" ht="13.8"/>
    <row r="1272" s="21" customFormat="1" ht="13.8"/>
    <row r="1273" s="21" customFormat="1" ht="13.8"/>
    <row r="1274" s="21" customFormat="1" ht="13.8"/>
    <row r="1275" s="21" customFormat="1" ht="13.8"/>
    <row r="1276" s="21" customFormat="1" ht="13.8"/>
    <row r="1277" s="21" customFormat="1" ht="13.8"/>
    <row r="1278" s="21" customFormat="1" ht="13.8"/>
    <row r="1279" s="21" customFormat="1" ht="13.8"/>
    <row r="1280" s="21" customFormat="1" ht="13.8"/>
    <row r="1281" s="21" customFormat="1" ht="13.8"/>
    <row r="1282" s="21" customFormat="1" ht="13.8"/>
    <row r="1283" s="21" customFormat="1" ht="13.8"/>
    <row r="1284" s="21" customFormat="1" ht="13.8"/>
    <row r="1285" s="21" customFormat="1" ht="13.8"/>
    <row r="1286" s="21" customFormat="1" ht="13.8"/>
    <row r="1287" s="21" customFormat="1" ht="13.8"/>
    <row r="1288" s="21" customFormat="1" ht="13.8"/>
    <row r="1289" s="21" customFormat="1" ht="13.8"/>
    <row r="1290" s="21" customFormat="1" ht="13.8"/>
    <row r="1291" s="21" customFormat="1" ht="13.8"/>
    <row r="1292" s="21" customFormat="1" ht="13.8"/>
    <row r="1293" s="21" customFormat="1" ht="13.8"/>
    <row r="1294" s="21" customFormat="1" ht="13.8"/>
    <row r="1295" s="21" customFormat="1" ht="13.8"/>
    <row r="1296" s="21" customFormat="1" ht="13.8"/>
    <row r="1297" s="21" customFormat="1" ht="13.8"/>
    <row r="1298" s="21" customFormat="1" ht="13.8"/>
    <row r="1299" s="21" customFormat="1" ht="13.8"/>
    <row r="1300" s="21" customFormat="1" ht="13.8"/>
    <row r="1301" s="21" customFormat="1" ht="13.8"/>
    <row r="1302" s="21" customFormat="1" ht="13.8"/>
    <row r="1303" s="21" customFormat="1" ht="13.8"/>
    <row r="1304" s="21" customFormat="1" ht="13.8"/>
    <row r="1305" s="21" customFormat="1" ht="13.8"/>
    <row r="1306" s="21" customFormat="1" ht="13.8"/>
    <row r="1307" s="21" customFormat="1" ht="13.8"/>
    <row r="1308" s="21" customFormat="1" ht="13.8"/>
    <row r="1309" s="21" customFormat="1" ht="13.8"/>
    <row r="1310" s="21" customFormat="1" ht="13.8"/>
    <row r="1311" s="21" customFormat="1" ht="13.8"/>
    <row r="1312" s="21" customFormat="1" ht="13.8"/>
    <row r="1313" s="21" customFormat="1" ht="13.8"/>
    <row r="1314" s="21" customFormat="1" ht="13.8"/>
    <row r="1315" s="21" customFormat="1" ht="13.8"/>
    <row r="1316" s="21" customFormat="1" ht="13.8"/>
    <row r="1317" s="21" customFormat="1" ht="13.8"/>
    <row r="1318" s="21" customFormat="1" ht="13.8"/>
    <row r="1319" s="21" customFormat="1" ht="13.8"/>
    <row r="1320" s="21" customFormat="1" ht="13.8"/>
    <row r="1321" s="21" customFormat="1" ht="13.8"/>
    <row r="1322" s="21" customFormat="1" ht="13.8"/>
    <row r="1323" s="21" customFormat="1" ht="13.8"/>
    <row r="1324" s="21" customFormat="1" ht="13.8"/>
    <row r="1325" s="21" customFormat="1" ht="13.8"/>
    <row r="1326" s="21" customFormat="1" ht="13.8"/>
    <row r="1327" s="21" customFormat="1" ht="13.8"/>
    <row r="1328" s="21" customFormat="1" ht="13.8"/>
    <row r="1329" s="21" customFormat="1" ht="13.8"/>
    <row r="1330" s="21" customFormat="1" ht="13.8"/>
    <row r="1331" s="21" customFormat="1" ht="13.8"/>
    <row r="1332" s="21" customFormat="1" ht="13.8"/>
    <row r="1333" s="21" customFormat="1" ht="13.8"/>
    <row r="1334" s="21" customFormat="1" ht="13.8"/>
    <row r="1335" s="21" customFormat="1" ht="13.8"/>
    <row r="1336" s="21" customFormat="1" ht="13.8"/>
    <row r="1337" s="21" customFormat="1" ht="13.8"/>
    <row r="1338" s="21" customFormat="1" ht="13.8"/>
    <row r="1339" s="21" customFormat="1" ht="13.8"/>
    <row r="1340" s="21" customFormat="1" ht="13.8"/>
    <row r="1341" s="21" customFormat="1" ht="13.8"/>
    <row r="1342" s="21" customFormat="1" ht="13.8"/>
    <row r="1343" s="21" customFormat="1" ht="13.8"/>
    <row r="1344" s="21" customFormat="1" ht="13.8"/>
    <row r="1345" s="21" customFormat="1" ht="13.8"/>
    <row r="1346" s="21" customFormat="1" ht="13.8"/>
    <row r="1347" s="21" customFormat="1" ht="13.8"/>
    <row r="1348" s="21" customFormat="1" ht="13.8"/>
    <row r="1349" s="21" customFormat="1" ht="13.8"/>
    <row r="1350" s="21" customFormat="1" ht="13.8"/>
    <row r="1351" s="21" customFormat="1" ht="13.8"/>
    <row r="1352" s="21" customFormat="1" ht="13.8"/>
    <row r="1353" s="21" customFormat="1" ht="13.8"/>
    <row r="1354" s="21" customFormat="1" ht="13.8"/>
    <row r="1355" s="21" customFormat="1" ht="13.8"/>
    <row r="1356" s="21" customFormat="1" ht="13.8"/>
    <row r="1357" s="21" customFormat="1" ht="13.8"/>
    <row r="1358" s="21" customFormat="1" ht="13.8"/>
    <row r="1359" s="21" customFormat="1" ht="13.8"/>
    <row r="1360" s="21" customFormat="1" ht="13.8"/>
    <row r="1361" s="21" customFormat="1" ht="13.8"/>
    <row r="1362" s="21" customFormat="1" ht="13.8"/>
    <row r="1363" s="21" customFormat="1" ht="13.8"/>
    <row r="1364" s="21" customFormat="1" ht="13.8"/>
    <row r="1365" s="21" customFormat="1" ht="13.8"/>
    <row r="1366" s="21" customFormat="1" ht="13.8"/>
    <row r="1367" s="21" customFormat="1" ht="13.8"/>
    <row r="1368" s="21" customFormat="1" ht="13.8"/>
    <row r="1369" s="21" customFormat="1" ht="13.8"/>
    <row r="1370" s="21" customFormat="1" ht="13.8"/>
    <row r="1371" s="21" customFormat="1" ht="13.8"/>
    <row r="1372" s="21" customFormat="1" ht="13.8"/>
    <row r="1373" s="21" customFormat="1" ht="13.8"/>
    <row r="1374" s="21" customFormat="1" ht="13.8"/>
    <row r="1375" s="21" customFormat="1" ht="13.8"/>
    <row r="1376" s="21" customFormat="1" ht="13.8"/>
    <row r="1377" s="21" customFormat="1" ht="13.8"/>
    <row r="1378" s="21" customFormat="1" ht="13.8"/>
    <row r="1379" s="21" customFormat="1" ht="13.8"/>
    <row r="1380" s="21" customFormat="1" ht="13.8"/>
    <row r="1381" s="21" customFormat="1" ht="13.8"/>
    <row r="1382" s="21" customFormat="1" ht="13.8"/>
    <row r="1383" s="21" customFormat="1" ht="13.8"/>
    <row r="1384" s="21" customFormat="1" ht="13.8"/>
    <row r="1385" s="21" customFormat="1" ht="13.8"/>
    <row r="1386" s="21" customFormat="1" ht="13.8"/>
    <row r="1387" s="21" customFormat="1" ht="13.8"/>
    <row r="1388" s="21" customFormat="1" ht="13.8"/>
    <row r="1389" s="21" customFormat="1" ht="13.8"/>
    <row r="1390" s="21" customFormat="1" ht="13.8"/>
    <row r="1391" s="21" customFormat="1" ht="13.8"/>
    <row r="1392" s="21" customFormat="1" ht="13.8"/>
    <row r="1393" s="21" customFormat="1" ht="13.8"/>
    <row r="1394" s="21" customFormat="1" ht="13.8"/>
    <row r="1395" s="21" customFormat="1" ht="13.8"/>
    <row r="1396" s="21" customFormat="1" ht="13.8"/>
    <row r="1397" s="21" customFormat="1" ht="13.8"/>
    <row r="1398" s="21" customFormat="1" ht="13.8"/>
    <row r="1399" s="21" customFormat="1" ht="13.8"/>
    <row r="1400" s="21" customFormat="1" ht="13.8"/>
    <row r="1401" s="21" customFormat="1" ht="13.8"/>
    <row r="1402" s="21" customFormat="1" ht="13.8"/>
    <row r="1403" s="21" customFormat="1" ht="13.8"/>
    <row r="1404" s="21" customFormat="1" ht="13.8"/>
    <row r="1405" s="21" customFormat="1" ht="13.8"/>
    <row r="1406" s="21" customFormat="1" ht="13.8"/>
    <row r="1407" s="21" customFormat="1" ht="13.8"/>
    <row r="1408" s="21" customFormat="1" ht="13.8"/>
    <row r="1409" s="21" customFormat="1" ht="13.8"/>
    <row r="1410" s="21" customFormat="1" ht="13.8"/>
    <row r="1411" s="21" customFormat="1" ht="13.8"/>
    <row r="1412" s="21" customFormat="1" ht="13.8"/>
    <row r="1413" s="21" customFormat="1" ht="13.8"/>
    <row r="1414" s="21" customFormat="1" ht="13.8"/>
    <row r="1415" s="21" customFormat="1" ht="13.8"/>
    <row r="1416" s="21" customFormat="1" ht="13.8"/>
    <row r="1417" s="21" customFormat="1" ht="13.8"/>
    <row r="1418" s="21" customFormat="1" ht="13.8"/>
    <row r="1419" s="21" customFormat="1" ht="13.8"/>
    <row r="1420" s="21" customFormat="1" ht="13.8"/>
    <row r="1421" s="21" customFormat="1" ht="13.8"/>
    <row r="1422" s="21" customFormat="1" ht="13.8"/>
    <row r="1423" s="21" customFormat="1" ht="13.8"/>
    <row r="1424" s="21" customFormat="1" ht="13.8"/>
    <row r="1425" s="21" customFormat="1" ht="13.8"/>
    <row r="1426" s="21" customFormat="1" ht="13.8"/>
    <row r="1427" s="21" customFormat="1" ht="13.8"/>
    <row r="1428" s="21" customFormat="1" ht="13.8"/>
    <row r="1429" s="21" customFormat="1" ht="13.8"/>
    <row r="1430" s="21" customFormat="1" ht="13.8"/>
    <row r="1431" s="21" customFormat="1" ht="13.8"/>
    <row r="1432" s="21" customFormat="1" ht="13.8"/>
    <row r="1433" s="21" customFormat="1" ht="13.8"/>
    <row r="1434" s="21" customFormat="1" ht="13.8"/>
    <row r="1435" s="21" customFormat="1" ht="13.8"/>
    <row r="1436" s="21" customFormat="1" ht="13.8"/>
    <row r="1437" s="21" customFormat="1" ht="13.8"/>
    <row r="1438" s="21" customFormat="1" ht="13.8"/>
    <row r="1439" s="21" customFormat="1" ht="13.8"/>
    <row r="1440" s="21" customFormat="1" ht="13.8"/>
    <row r="1441" s="21" customFormat="1" ht="13.8"/>
    <row r="1442" s="21" customFormat="1" ht="13.8"/>
    <row r="1443" s="21" customFormat="1" ht="13.8"/>
    <row r="1444" s="21" customFormat="1" ht="13.8"/>
    <row r="1445" s="21" customFormat="1" ht="13.8"/>
    <row r="1446" s="21" customFormat="1" ht="13.8"/>
    <row r="1447" s="21" customFormat="1" ht="13.8"/>
    <row r="1448" s="21" customFormat="1" ht="13.8"/>
    <row r="1449" s="21" customFormat="1" ht="13.8"/>
    <row r="1450" s="21" customFormat="1" ht="13.8"/>
    <row r="1451" s="21" customFormat="1" ht="13.8"/>
    <row r="1452" s="21" customFormat="1" ht="13.8"/>
    <row r="1453" s="21" customFormat="1" ht="13.8"/>
    <row r="1454" s="21" customFormat="1" ht="13.8"/>
    <row r="1455" s="21" customFormat="1" ht="13.8"/>
    <row r="1456" s="21" customFormat="1" ht="13.8"/>
    <row r="1457" s="21" customFormat="1" ht="13.8"/>
    <row r="1458" s="21" customFormat="1" ht="13.8"/>
    <row r="1459" s="21" customFormat="1" ht="13.8"/>
    <row r="1460" s="21" customFormat="1" ht="13.8"/>
    <row r="1461" s="21" customFormat="1" ht="13.8"/>
    <row r="1462" s="21" customFormat="1" ht="13.8"/>
    <row r="1463" s="21" customFormat="1" ht="13.8"/>
    <row r="1464" s="21" customFormat="1" ht="13.8"/>
    <row r="1465" s="21" customFormat="1" ht="13.8"/>
    <row r="1466" s="21" customFormat="1" ht="13.8"/>
    <row r="1467" s="21" customFormat="1" ht="13.8"/>
    <row r="1468" s="21" customFormat="1" ht="13.8"/>
    <row r="1469" s="21" customFormat="1" ht="13.8"/>
    <row r="1470" s="21" customFormat="1" ht="13.8"/>
    <row r="1471" s="21" customFormat="1" ht="13.8"/>
    <row r="1472" s="21" customFormat="1" ht="13.8"/>
    <row r="1473" s="21" customFormat="1" ht="13.8"/>
    <row r="1474" s="21" customFormat="1" ht="13.8"/>
    <row r="1475" s="21" customFormat="1" ht="13.8"/>
    <row r="1476" s="21" customFormat="1" ht="13.8"/>
    <row r="1477" s="21" customFormat="1" ht="13.8"/>
    <row r="1478" s="21" customFormat="1" ht="13.8"/>
    <row r="1479" s="21" customFormat="1" ht="13.8"/>
    <row r="1480" s="21" customFormat="1" ht="13.8"/>
    <row r="1481" s="21" customFormat="1" ht="13.8"/>
    <row r="1482" s="21" customFormat="1" ht="13.8"/>
    <row r="1483" s="21" customFormat="1" ht="13.8"/>
    <row r="1484" s="21" customFormat="1" ht="13.8"/>
    <row r="1485" s="21" customFormat="1" ht="13.8"/>
    <row r="1486" s="21" customFormat="1" ht="13.8"/>
    <row r="1487" s="21" customFormat="1" ht="13.8"/>
    <row r="1488" s="21" customFormat="1" ht="13.8"/>
    <row r="1489" s="21" customFormat="1" ht="13.8"/>
    <row r="1490" s="21" customFormat="1" ht="13.8"/>
    <row r="1491" s="21" customFormat="1" ht="13.8"/>
    <row r="1492" s="21" customFormat="1" ht="13.8"/>
    <row r="1493" s="21" customFormat="1" ht="13.8"/>
    <row r="1494" s="21" customFormat="1" ht="13.8"/>
    <row r="1495" s="21" customFormat="1" ht="13.8"/>
    <row r="1496" s="21" customFormat="1" ht="13.8"/>
    <row r="1497" s="21" customFormat="1" ht="13.8"/>
    <row r="1498" s="21" customFormat="1" ht="13.8"/>
    <row r="1499" s="21" customFormat="1" ht="13.8"/>
    <row r="1500" s="21" customFormat="1" ht="13.8"/>
    <row r="1501" s="21" customFormat="1" ht="13.8"/>
    <row r="1502" s="21" customFormat="1" ht="13.8"/>
    <row r="1503" s="21" customFormat="1" ht="13.8"/>
    <row r="1504" s="21" customFormat="1" ht="13.8"/>
    <row r="1505" s="21" customFormat="1" ht="13.8"/>
    <row r="1506" s="21" customFormat="1" ht="13.8"/>
    <row r="1507" s="21" customFormat="1" ht="13.8"/>
    <row r="1508" s="21" customFormat="1" ht="13.8"/>
    <row r="1509" s="21" customFormat="1" ht="13.8"/>
    <row r="1510" s="21" customFormat="1" ht="13.8"/>
    <row r="1511" s="21" customFormat="1" ht="13.8"/>
    <row r="1512" s="21" customFormat="1" ht="13.8"/>
    <row r="1513" s="21" customFormat="1" ht="13.8"/>
    <row r="1514" s="21" customFormat="1" ht="13.8"/>
    <row r="1515" s="21" customFormat="1" ht="13.8"/>
    <row r="1516" s="21" customFormat="1" ht="13.8"/>
    <row r="1517" s="21" customFormat="1" ht="13.8"/>
    <row r="1518" s="21" customFormat="1" ht="13.8"/>
    <row r="1519" s="21" customFormat="1" ht="13.8"/>
    <row r="1520" s="21" customFormat="1" ht="13.8"/>
    <row r="1521" s="21" customFormat="1" ht="13.8"/>
    <row r="1522" s="21" customFormat="1" ht="13.8"/>
    <row r="1523" s="21" customFormat="1" ht="13.8"/>
    <row r="1524" s="21" customFormat="1" ht="13.8"/>
    <row r="1525" s="21" customFormat="1" ht="13.8"/>
    <row r="1526" s="21" customFormat="1" ht="13.8"/>
    <row r="1527" s="21" customFormat="1" ht="13.8"/>
    <row r="1528" s="21" customFormat="1" ht="13.8"/>
    <row r="1529" s="21" customFormat="1" ht="13.8"/>
    <row r="1530" s="21" customFormat="1" ht="13.8"/>
    <row r="1531" s="21" customFormat="1" ht="13.8"/>
    <row r="1532" s="21" customFormat="1" ht="13.8"/>
    <row r="1533" s="21" customFormat="1" ht="13.8"/>
    <row r="1534" s="21" customFormat="1" ht="13.8"/>
    <row r="1535" s="21" customFormat="1" ht="13.8"/>
    <row r="1536" s="21" customFormat="1" ht="13.8"/>
    <row r="1537" s="21" customFormat="1" ht="13.8"/>
    <row r="1538" s="21" customFormat="1" ht="13.8"/>
    <row r="1539" s="21" customFormat="1" ht="13.8"/>
    <row r="1540" s="21" customFormat="1" ht="13.8"/>
    <row r="1541" s="21" customFormat="1" ht="13.8"/>
    <row r="1542" s="21" customFormat="1" ht="13.8"/>
    <row r="1543" s="21" customFormat="1" ht="13.8"/>
    <row r="1544" s="21" customFormat="1" ht="13.8"/>
    <row r="1545" s="21" customFormat="1" ht="13.8"/>
    <row r="1546" s="21" customFormat="1" ht="13.8"/>
    <row r="1547" s="21" customFormat="1" ht="13.8"/>
    <row r="1548" s="21" customFormat="1" ht="13.8"/>
    <row r="1549" s="21" customFormat="1" ht="13.8"/>
    <row r="1550" s="21" customFormat="1" ht="13.8"/>
    <row r="1551" s="21" customFormat="1" ht="13.8"/>
    <row r="1552" s="21" customFormat="1" ht="13.8"/>
    <row r="1553" s="21" customFormat="1" ht="13.8"/>
    <row r="1554" s="21" customFormat="1" ht="13.8"/>
    <row r="1555" s="21" customFormat="1" ht="13.8"/>
    <row r="1556" s="21" customFormat="1" ht="13.8"/>
    <row r="1557" s="21" customFormat="1" ht="13.8"/>
    <row r="1558" s="21" customFormat="1" ht="13.8"/>
    <row r="1559" s="21" customFormat="1" ht="13.8"/>
    <row r="1560" s="21" customFormat="1" ht="13.8"/>
    <row r="1561" s="21" customFormat="1" ht="13.8"/>
    <row r="1562" s="21" customFormat="1" ht="13.8"/>
    <row r="1563" s="21" customFormat="1" ht="13.8"/>
    <row r="1564" s="21" customFormat="1" ht="13.8"/>
    <row r="1565" s="21" customFormat="1" ht="13.8"/>
    <row r="1566" s="21" customFormat="1" ht="13.8"/>
    <row r="1567" s="21" customFormat="1" ht="13.8"/>
    <row r="1568" s="21" customFormat="1" ht="13.8"/>
    <row r="1569" s="21" customFormat="1" ht="13.8"/>
    <row r="1570" s="21" customFormat="1" ht="13.8"/>
    <row r="1571" s="21" customFormat="1" ht="13.8"/>
    <row r="1572" s="21" customFormat="1" ht="13.8"/>
    <row r="1573" s="21" customFormat="1" ht="13.8"/>
    <row r="1574" s="21" customFormat="1" ht="13.8"/>
    <row r="1575" s="21" customFormat="1" ht="13.8"/>
    <row r="1576" s="21" customFormat="1" ht="13.8"/>
    <row r="1577" s="21" customFormat="1" ht="13.8"/>
    <row r="1578" s="21" customFormat="1" ht="13.8"/>
    <row r="1579" s="21" customFormat="1" ht="13.8"/>
    <row r="1580" s="21" customFormat="1" ht="13.8"/>
    <row r="1581" s="21" customFormat="1" ht="13.8"/>
    <row r="1582" s="21" customFormat="1" ht="13.8"/>
    <row r="1583" s="21" customFormat="1" ht="13.8"/>
    <row r="1584" s="21" customFormat="1" ht="13.8"/>
    <row r="1585" s="21" customFormat="1" ht="13.8"/>
    <row r="1586" s="21" customFormat="1" ht="13.8"/>
    <row r="1587" s="21" customFormat="1" ht="13.8"/>
    <row r="1588" s="21" customFormat="1" ht="13.8"/>
    <row r="1589" s="21" customFormat="1" ht="13.8"/>
    <row r="1590" s="21" customFormat="1" ht="13.8"/>
    <row r="1591" s="21" customFormat="1" ht="13.8"/>
    <row r="1592" s="21" customFormat="1" ht="13.8"/>
    <row r="1593" s="21" customFormat="1" ht="13.8"/>
    <row r="1594" s="21" customFormat="1" ht="13.8"/>
    <row r="1595" s="21" customFormat="1" ht="13.8"/>
    <row r="1596" s="21" customFormat="1" ht="13.8"/>
    <row r="1597" s="21" customFormat="1" ht="13.8"/>
    <row r="1598" s="21" customFormat="1" ht="13.8"/>
    <row r="1599" s="21" customFormat="1" ht="13.8"/>
    <row r="1600" s="21" customFormat="1" ht="13.8"/>
    <row r="1601" s="21" customFormat="1" ht="13.8"/>
    <row r="1602" s="21" customFormat="1" ht="13.8"/>
    <row r="1603" s="21" customFormat="1" ht="13.8"/>
    <row r="1604" s="21" customFormat="1" ht="13.8"/>
    <row r="1605" s="21" customFormat="1" ht="13.8"/>
    <row r="1606" s="21" customFormat="1" ht="13.8"/>
    <row r="1607" s="21" customFormat="1" ht="13.8"/>
    <row r="1608" s="21" customFormat="1" ht="13.8"/>
    <row r="1609" s="21" customFormat="1" ht="13.8"/>
    <row r="1610" s="21" customFormat="1" ht="13.8"/>
    <row r="1611" s="21" customFormat="1" ht="13.8"/>
    <row r="1612" s="21" customFormat="1" ht="13.8"/>
    <row r="1613" s="21" customFormat="1" ht="13.8"/>
    <row r="1614" s="21" customFormat="1" ht="13.8"/>
    <row r="1615" s="21" customFormat="1" ht="13.8"/>
    <row r="1616" s="21" customFormat="1" ht="13.8"/>
    <row r="1617" s="21" customFormat="1" ht="13.8"/>
    <row r="1618" s="21" customFormat="1" ht="13.8"/>
    <row r="1619" s="21" customFormat="1" ht="13.8"/>
    <row r="1620" s="21" customFormat="1" ht="13.8"/>
    <row r="1621" s="21" customFormat="1" ht="13.8"/>
    <row r="1622" s="21" customFormat="1" ht="13.8"/>
    <row r="1623" s="21" customFormat="1" ht="13.8"/>
    <row r="1624" s="21" customFormat="1" ht="13.8"/>
    <row r="1625" s="21" customFormat="1" ht="13.8"/>
    <row r="1626" s="21" customFormat="1" ht="13.8"/>
    <row r="1627" s="21" customFormat="1" ht="13.8"/>
    <row r="1628" s="21" customFormat="1" ht="13.8"/>
    <row r="1629" s="21" customFormat="1" ht="13.8"/>
    <row r="1630" s="21" customFormat="1" ht="13.8"/>
    <row r="1631" s="21" customFormat="1" ht="13.8"/>
    <row r="1632" s="21" customFormat="1" ht="13.8"/>
    <row r="1633" s="21" customFormat="1" ht="13.8"/>
    <row r="1634" s="21" customFormat="1" ht="13.8"/>
    <row r="1635" s="21" customFormat="1" ht="13.8"/>
    <row r="1636" s="21" customFormat="1" ht="13.8"/>
    <row r="1637" s="21" customFormat="1" ht="13.8"/>
    <row r="1638" s="21" customFormat="1" ht="13.8"/>
    <row r="1639" s="21" customFormat="1" ht="13.8"/>
    <row r="1640" s="21" customFormat="1" ht="13.8"/>
    <row r="1641" s="21" customFormat="1" ht="13.8"/>
    <row r="1642" s="21" customFormat="1" ht="13.8"/>
    <row r="1643" s="21" customFormat="1" ht="13.8"/>
    <row r="1644" s="21" customFormat="1" ht="13.8"/>
    <row r="1645" s="21" customFormat="1" ht="13.8"/>
    <row r="1646" s="21" customFormat="1" ht="13.8"/>
    <row r="1647" s="21" customFormat="1" ht="13.8"/>
    <row r="1648" s="21" customFormat="1" ht="13.8"/>
    <row r="1649" s="21" customFormat="1" ht="13.8"/>
    <row r="1650" s="21" customFormat="1" ht="13.8"/>
    <row r="1651" s="21" customFormat="1" ht="13.8"/>
    <row r="1652" s="21" customFormat="1" ht="13.8"/>
    <row r="1653" s="21" customFormat="1" ht="13.8"/>
    <row r="1654" s="21" customFormat="1" ht="13.8"/>
    <row r="1655" s="21" customFormat="1" ht="13.8"/>
    <row r="1656" s="21" customFormat="1" ht="13.8"/>
    <row r="1657" s="21" customFormat="1" ht="13.8"/>
    <row r="1658" s="21" customFormat="1" ht="13.8"/>
    <row r="1659" s="21" customFormat="1" ht="13.8"/>
    <row r="1660" s="21" customFormat="1" ht="13.8"/>
    <row r="1661" s="21" customFormat="1" ht="13.8"/>
    <row r="1662" s="21" customFormat="1" ht="13.8"/>
    <row r="1663" s="21" customFormat="1" ht="13.8"/>
    <row r="1664" s="21" customFormat="1" ht="13.8"/>
    <row r="1665" s="21" customFormat="1" ht="13.8"/>
    <row r="1666" s="21" customFormat="1" ht="13.8"/>
    <row r="1667" s="21" customFormat="1" ht="13.8"/>
    <row r="1668" s="21" customFormat="1" ht="13.8"/>
    <row r="1669" s="21" customFormat="1" ht="13.8"/>
    <row r="1670" s="21" customFormat="1" ht="13.8"/>
    <row r="1671" s="21" customFormat="1" ht="13.8"/>
    <row r="1672" s="21" customFormat="1" ht="13.8"/>
    <row r="1673" s="21" customFormat="1" ht="13.8"/>
    <row r="1674" s="21" customFormat="1" ht="13.8"/>
    <row r="1675" s="21" customFormat="1" ht="13.8"/>
    <row r="1676" s="21" customFormat="1" ht="13.8"/>
    <row r="1677" s="21" customFormat="1" ht="13.8"/>
    <row r="1678" s="21" customFormat="1" ht="13.8"/>
    <row r="1679" s="21" customFormat="1" ht="13.8"/>
    <row r="1680" s="21" customFormat="1" ht="13.8"/>
    <row r="1681" s="21" customFormat="1" ht="13.8"/>
    <row r="1682" s="21" customFormat="1" ht="13.8"/>
    <row r="1683" s="21" customFormat="1" ht="13.8"/>
    <row r="1684" s="21" customFormat="1" ht="13.8"/>
    <row r="1685" s="21" customFormat="1" ht="13.8"/>
    <row r="1686" s="21" customFormat="1" ht="13.8"/>
    <row r="1687" s="21" customFormat="1" ht="13.8"/>
    <row r="1688" s="21" customFormat="1" ht="13.8"/>
    <row r="1689" s="21" customFormat="1" ht="13.8"/>
    <row r="1690" s="21" customFormat="1" ht="13.8"/>
    <row r="1691" s="21" customFormat="1" ht="13.8"/>
    <row r="1692" s="21" customFormat="1" ht="13.8"/>
    <row r="1693" s="21" customFormat="1" ht="13.8"/>
    <row r="1694" s="21" customFormat="1" ht="13.8"/>
    <row r="1695" s="21" customFormat="1" ht="13.8"/>
    <row r="1696" s="21" customFormat="1" ht="13.8"/>
    <row r="1697" s="21" customFormat="1" ht="13.8"/>
    <row r="1698" s="21" customFormat="1" ht="13.8"/>
    <row r="1699" s="21" customFormat="1" ht="13.8"/>
    <row r="1700" s="21" customFormat="1" ht="13.8"/>
    <row r="1701" s="21" customFormat="1" ht="13.8"/>
    <row r="1702" s="21" customFormat="1" ht="13.8"/>
    <row r="1703" s="21" customFormat="1" ht="13.8"/>
    <row r="1704" s="21" customFormat="1" ht="13.8"/>
    <row r="1705" s="21" customFormat="1" ht="13.8"/>
    <row r="1706" s="21" customFormat="1" ht="13.8"/>
    <row r="1707" s="21" customFormat="1" ht="13.8"/>
    <row r="1708" s="21" customFormat="1" ht="13.8"/>
    <row r="1709" s="21" customFormat="1" ht="13.8"/>
    <row r="1710" s="21" customFormat="1" ht="13.8"/>
    <row r="1711" s="21" customFormat="1" ht="13.8"/>
    <row r="1712" s="21" customFormat="1" ht="13.8"/>
    <row r="1713" s="21" customFormat="1" ht="13.8"/>
    <row r="1714" s="21" customFormat="1" ht="13.8"/>
    <row r="1715" s="21" customFormat="1" ht="13.8"/>
    <row r="1716" s="21" customFormat="1" ht="13.8"/>
    <row r="1717" s="21" customFormat="1" ht="13.8"/>
    <row r="1718" s="21" customFormat="1" ht="13.8"/>
    <row r="1719" s="21" customFormat="1" ht="13.8"/>
    <row r="1720" s="21" customFormat="1" ht="13.8"/>
    <row r="1721" s="21" customFormat="1" ht="13.8"/>
    <row r="1722" s="21" customFormat="1" ht="13.8"/>
    <row r="1723" s="21" customFormat="1" ht="13.8"/>
    <row r="1724" s="21" customFormat="1" ht="13.8"/>
    <row r="1725" s="21" customFormat="1" ht="13.8"/>
    <row r="1726" s="21" customFormat="1" ht="13.8"/>
    <row r="1727" s="21" customFormat="1" ht="13.8"/>
    <row r="1728" s="21" customFormat="1" ht="13.8"/>
    <row r="1729" s="21" customFormat="1" ht="13.8"/>
    <row r="1730" s="21" customFormat="1" ht="13.8"/>
    <row r="1731" s="21" customFormat="1" ht="13.8"/>
    <row r="1732" s="21" customFormat="1" ht="13.8"/>
    <row r="1733" s="21" customFormat="1" ht="13.8"/>
    <row r="1734" s="21" customFormat="1" ht="13.8"/>
    <row r="1735" s="21" customFormat="1" ht="13.8"/>
    <row r="1736" s="21" customFormat="1" ht="13.8"/>
    <row r="1737" s="21" customFormat="1" ht="13.8"/>
    <row r="1738" s="21" customFormat="1" ht="13.8"/>
    <row r="1739" s="21" customFormat="1" ht="13.8"/>
    <row r="1740" s="21" customFormat="1" ht="13.8"/>
    <row r="1741" s="21" customFormat="1" ht="13.8"/>
    <row r="1742" s="21" customFormat="1" ht="13.8"/>
    <row r="1743" s="21" customFormat="1" ht="13.8"/>
    <row r="1744" s="21" customFormat="1" ht="13.8"/>
    <row r="1745" s="21" customFormat="1" ht="13.8"/>
    <row r="1746" s="21" customFormat="1" ht="13.8"/>
    <row r="1747" s="21" customFormat="1" ht="13.8"/>
    <row r="1748" s="21" customFormat="1" ht="13.8"/>
    <row r="1749" s="21" customFormat="1" ht="13.8"/>
    <row r="1750" s="21" customFormat="1" ht="13.8"/>
    <row r="1751" s="21" customFormat="1" ht="13.8"/>
    <row r="1752" s="21" customFormat="1" ht="13.8"/>
    <row r="1753" s="21" customFormat="1" ht="13.8"/>
    <row r="1754" s="21" customFormat="1" ht="13.8"/>
    <row r="1755" s="21" customFormat="1" ht="13.8"/>
    <row r="1756" s="21" customFormat="1" ht="13.8"/>
    <row r="1757" s="21" customFormat="1" ht="13.8"/>
    <row r="1758" s="21" customFormat="1" ht="13.8"/>
    <row r="1759" s="21" customFormat="1" ht="13.8"/>
    <row r="1760" s="21" customFormat="1" ht="13.8"/>
    <row r="1761" s="21" customFormat="1" ht="13.8"/>
    <row r="1762" s="21" customFormat="1" ht="13.8"/>
    <row r="1763" s="21" customFormat="1" ht="13.8"/>
    <row r="1764" s="21" customFormat="1" ht="13.8"/>
    <row r="1765" s="21" customFormat="1" ht="13.8"/>
    <row r="1766" s="21" customFormat="1" ht="13.8"/>
    <row r="1767" s="21" customFormat="1" ht="13.8"/>
    <row r="1768" s="21" customFormat="1" ht="13.8"/>
    <row r="1769" s="21" customFormat="1" ht="13.8"/>
    <row r="1770" s="21" customFormat="1" ht="13.8"/>
    <row r="1771" s="21" customFormat="1" ht="13.8"/>
    <row r="1772" s="21" customFormat="1" ht="13.8"/>
    <row r="1773" s="21" customFormat="1" ht="13.8"/>
    <row r="1774" s="21" customFormat="1" ht="13.8"/>
    <row r="1775" s="21" customFormat="1" ht="13.8"/>
    <row r="1776" s="21" customFormat="1" ht="13.8"/>
    <row r="1777" s="21" customFormat="1" ht="13.8"/>
    <row r="1778" s="21" customFormat="1" ht="13.8"/>
    <row r="1779" s="21" customFormat="1" ht="13.8"/>
    <row r="1780" s="21" customFormat="1" ht="13.8"/>
    <row r="1781" s="21" customFormat="1" ht="13.8"/>
    <row r="1782" s="21" customFormat="1" ht="13.8"/>
    <row r="1783" s="21" customFormat="1" ht="13.8"/>
    <row r="1784" s="21" customFormat="1" ht="13.8"/>
    <row r="1785" s="21" customFormat="1" ht="13.8"/>
    <row r="1786" s="21" customFormat="1" ht="13.8"/>
    <row r="1787" s="21" customFormat="1" ht="13.8"/>
    <row r="1788" s="21" customFormat="1" ht="13.8"/>
    <row r="1789" s="21" customFormat="1" ht="13.8"/>
    <row r="1790" s="21" customFormat="1" ht="13.8"/>
    <row r="1791" s="21" customFormat="1" ht="13.8"/>
    <row r="1792" s="21" customFormat="1" ht="13.8"/>
    <row r="1793" s="21" customFormat="1" ht="13.8"/>
    <row r="1794" s="21" customFormat="1" ht="13.8"/>
    <row r="1795" s="21" customFormat="1" ht="13.8"/>
    <row r="1796" s="21" customFormat="1" ht="13.8"/>
    <row r="1797" s="21" customFormat="1" ht="13.8"/>
    <row r="1798" s="21" customFormat="1" ht="13.8"/>
    <row r="1799" s="21" customFormat="1" ht="13.8"/>
    <row r="1800" s="21" customFormat="1" ht="13.8"/>
    <row r="1801" s="21" customFormat="1" ht="13.8"/>
    <row r="1802" s="21" customFormat="1" ht="13.8"/>
    <row r="1803" s="21" customFormat="1" ht="13.8"/>
    <row r="1804" s="21" customFormat="1" ht="13.8"/>
    <row r="1805" s="21" customFormat="1" ht="13.8"/>
    <row r="1806" s="21" customFormat="1" ht="13.8"/>
    <row r="1807" s="21" customFormat="1" ht="13.8"/>
    <row r="1808" s="21" customFormat="1" ht="13.8"/>
    <row r="1809" s="21" customFormat="1" ht="13.8"/>
    <row r="1810" s="21" customFormat="1" ht="13.8"/>
    <row r="1811" s="21" customFormat="1" ht="13.8"/>
    <row r="1812" s="21" customFormat="1" ht="13.8"/>
    <row r="1813" s="21" customFormat="1" ht="13.8"/>
    <row r="1814" s="21" customFormat="1" ht="13.8"/>
    <row r="1815" s="21" customFormat="1" ht="13.8"/>
    <row r="1816" s="21" customFormat="1" ht="13.8"/>
    <row r="1817" s="21" customFormat="1" ht="13.8"/>
    <row r="1818" s="21" customFormat="1" ht="13.8"/>
    <row r="1819" s="21" customFormat="1" ht="13.8"/>
    <row r="1820" s="21" customFormat="1" ht="13.8"/>
    <row r="1821" s="21" customFormat="1" ht="13.8"/>
    <row r="1822" s="21" customFormat="1" ht="13.8"/>
    <row r="1823" s="21" customFormat="1" ht="13.8"/>
    <row r="1824" s="21" customFormat="1" ht="13.8"/>
    <row r="1825" s="21" customFormat="1" ht="13.8"/>
    <row r="1826" s="21" customFormat="1" ht="13.8"/>
    <row r="1827" s="21" customFormat="1" ht="13.8"/>
    <row r="1828" s="21" customFormat="1" ht="13.8"/>
    <row r="1829" s="21" customFormat="1" ht="13.8"/>
    <row r="1830" s="21" customFormat="1" ht="13.8"/>
    <row r="1831" s="21" customFormat="1" ht="13.8"/>
    <row r="1832" s="21" customFormat="1" ht="13.8"/>
    <row r="1833" s="21" customFormat="1" ht="13.8"/>
    <row r="1834" s="21" customFormat="1" ht="13.8"/>
    <row r="1835" s="21" customFormat="1" ht="13.8"/>
    <row r="1836" s="21" customFormat="1" ht="13.8"/>
    <row r="1837" s="21" customFormat="1" ht="13.8"/>
    <row r="1838" s="21" customFormat="1" ht="13.8"/>
    <row r="1839" s="21" customFormat="1" ht="13.8"/>
    <row r="1840" s="21" customFormat="1" ht="13.8"/>
    <row r="1841" s="21" customFormat="1" ht="13.8"/>
    <row r="1842" s="21" customFormat="1" ht="13.8"/>
    <row r="1843" s="21" customFormat="1" ht="13.8"/>
    <row r="1844" s="21" customFormat="1" ht="13.8"/>
    <row r="1845" s="21" customFormat="1" ht="13.8"/>
    <row r="1846" s="21" customFormat="1" ht="13.8"/>
    <row r="1847" s="21" customFormat="1" ht="13.8"/>
    <row r="1848" s="21" customFormat="1" ht="13.8"/>
    <row r="1849" s="21" customFormat="1" ht="13.8"/>
    <row r="1850" s="21" customFormat="1" ht="13.8"/>
    <row r="1851" s="21" customFormat="1" ht="13.8"/>
    <row r="1852" s="21" customFormat="1" ht="13.8"/>
    <row r="1853" s="21" customFormat="1" ht="13.8"/>
    <row r="1854" s="21" customFormat="1" ht="13.8"/>
    <row r="1855" s="21" customFormat="1" ht="13.8"/>
    <row r="1856" s="21" customFormat="1" ht="13.8"/>
    <row r="1857" s="21" customFormat="1" ht="13.8"/>
    <row r="1858" s="21" customFormat="1" ht="13.8"/>
    <row r="1859" s="21" customFormat="1" ht="13.8"/>
    <row r="1860" s="21" customFormat="1" ht="13.8"/>
    <row r="1861" s="21" customFormat="1" ht="13.8"/>
    <row r="1862" s="21" customFormat="1" ht="13.8"/>
    <row r="1863" s="21" customFormat="1" ht="13.8"/>
    <row r="1864" s="21" customFormat="1" ht="13.8"/>
    <row r="1865" s="21" customFormat="1" ht="13.8"/>
    <row r="1866" s="21" customFormat="1" ht="13.8"/>
    <row r="1867" s="21" customFormat="1" ht="13.8"/>
    <row r="1868" s="21" customFormat="1" ht="13.8"/>
    <row r="1869" s="21" customFormat="1" ht="13.8"/>
    <row r="1870" s="21" customFormat="1" ht="13.8"/>
    <row r="1871" s="21" customFormat="1" ht="13.8"/>
    <row r="1872" s="21" customFormat="1" ht="13.8"/>
    <row r="1873" s="21" customFormat="1" ht="13.8"/>
    <row r="1874" s="21" customFormat="1" ht="13.8"/>
    <row r="1875" s="21" customFormat="1" ht="13.8"/>
    <row r="1876" s="21" customFormat="1" ht="13.8"/>
    <row r="1877" s="21" customFormat="1" ht="13.8"/>
    <row r="1878" s="21" customFormat="1" ht="13.8"/>
    <row r="1879" s="21" customFormat="1" ht="13.8"/>
    <row r="1880" s="21" customFormat="1" ht="13.8"/>
    <row r="1881" s="21" customFormat="1" ht="13.8"/>
    <row r="1882" s="21" customFormat="1" ht="13.8"/>
    <row r="1883" s="21" customFormat="1" ht="13.8"/>
    <row r="1884" s="21" customFormat="1" ht="13.8"/>
    <row r="1885" s="21" customFormat="1" ht="13.8"/>
    <row r="1886" s="21" customFormat="1" ht="13.8"/>
    <row r="1887" s="21" customFormat="1" ht="13.8"/>
    <row r="1888" s="21" customFormat="1" ht="13.8"/>
    <row r="1889" s="21" customFormat="1" ht="13.8"/>
    <row r="1890" s="21" customFormat="1" ht="13.8"/>
    <row r="1891" s="21" customFormat="1" ht="13.8"/>
    <row r="1892" s="21" customFormat="1" ht="13.8"/>
    <row r="1893" s="21" customFormat="1" ht="13.8"/>
    <row r="1894" s="21" customFormat="1" ht="13.8"/>
    <row r="1895" s="21" customFormat="1" ht="13.8"/>
    <row r="1896" s="21" customFormat="1" ht="13.8"/>
    <row r="1897" s="21" customFormat="1" ht="13.8"/>
    <row r="1898" s="21" customFormat="1" ht="13.8"/>
    <row r="1899" s="21" customFormat="1" ht="13.8"/>
    <row r="1900" s="21" customFormat="1" ht="13.8"/>
    <row r="1901" s="21" customFormat="1" ht="13.8"/>
    <row r="1902" s="21" customFormat="1" ht="13.8"/>
    <row r="1903" s="21" customFormat="1" ht="13.8"/>
    <row r="1904" s="21" customFormat="1" ht="13.8"/>
    <row r="1905" s="21" customFormat="1" ht="13.8"/>
    <row r="1906" s="21" customFormat="1" ht="13.8"/>
    <row r="1907" s="21" customFormat="1" ht="13.8"/>
    <row r="1908" s="21" customFormat="1" ht="13.8"/>
    <row r="1909" s="21" customFormat="1" ht="13.8"/>
    <row r="1910" s="21" customFormat="1" ht="13.8"/>
    <row r="1911" s="21" customFormat="1" ht="13.8"/>
    <row r="1912" s="21" customFormat="1" ht="13.8"/>
    <row r="1913" s="21" customFormat="1" ht="13.8"/>
    <row r="1914" s="21" customFormat="1" ht="13.8"/>
    <row r="1915" s="21" customFormat="1" ht="13.8"/>
    <row r="1916" s="21" customFormat="1" ht="13.8"/>
    <row r="1917" s="21" customFormat="1" ht="13.8"/>
    <row r="1918" s="21" customFormat="1" ht="13.8"/>
    <row r="1919" s="21" customFormat="1" ht="13.8"/>
    <row r="1920" s="21" customFormat="1" ht="13.8"/>
    <row r="1921" s="21" customFormat="1" ht="13.8"/>
    <row r="1922" s="21" customFormat="1" ht="13.8"/>
    <row r="1923" s="21" customFormat="1" ht="13.8"/>
    <row r="1924" s="21" customFormat="1" ht="13.8"/>
    <row r="1925" s="21" customFormat="1" ht="13.8"/>
    <row r="1926" s="21" customFormat="1" ht="13.8"/>
    <row r="1927" s="21" customFormat="1" ht="13.8"/>
    <row r="1928" s="21" customFormat="1" ht="13.8"/>
    <row r="1929" s="21" customFormat="1" ht="13.8"/>
    <row r="1930" s="21" customFormat="1" ht="13.8"/>
    <row r="1931" s="21" customFormat="1" ht="13.8"/>
    <row r="1932" s="21" customFormat="1" ht="13.8"/>
    <row r="1933" s="21" customFormat="1" ht="13.8"/>
    <row r="1934" s="21" customFormat="1" ht="13.8"/>
    <row r="1935" s="21" customFormat="1" ht="13.8"/>
    <row r="1936" s="21" customFormat="1" ht="13.8"/>
    <row r="1937" s="21" customFormat="1" ht="13.8"/>
    <row r="1938" s="21" customFormat="1" ht="13.8"/>
    <row r="1939" s="21" customFormat="1" ht="13.8"/>
    <row r="1940" s="21" customFormat="1" ht="13.8"/>
    <row r="1941" s="21" customFormat="1" ht="13.8"/>
    <row r="1942" s="21" customFormat="1" ht="13.8"/>
    <row r="1943" s="21" customFormat="1" ht="13.8"/>
    <row r="1944" s="21" customFormat="1" ht="13.8"/>
    <row r="1945" s="21" customFormat="1" ht="13.8"/>
    <row r="1946" s="21" customFormat="1" ht="13.8"/>
    <row r="1947" s="21" customFormat="1" ht="13.8"/>
    <row r="1948" s="21" customFormat="1" ht="13.8"/>
    <row r="1949" s="21" customFormat="1" ht="13.8"/>
    <row r="1950" s="21" customFormat="1" ht="13.8"/>
    <row r="1951" s="21" customFormat="1" ht="13.8"/>
    <row r="1952" s="21" customFormat="1" ht="13.8"/>
    <row r="1953" s="21" customFormat="1" ht="13.8"/>
    <row r="1954" s="21" customFormat="1" ht="13.8"/>
    <row r="1955" s="21" customFormat="1" ht="13.8"/>
    <row r="1956" s="21" customFormat="1" ht="13.8"/>
    <row r="1957" s="21" customFormat="1" ht="13.8"/>
    <row r="1958" s="21" customFormat="1" ht="13.8"/>
    <row r="1959" s="21" customFormat="1" ht="13.8"/>
    <row r="1960" s="21" customFormat="1" ht="13.8"/>
    <row r="1961" s="21" customFormat="1" ht="13.8"/>
    <row r="1962" s="21" customFormat="1" ht="13.8"/>
    <row r="1963" s="21" customFormat="1" ht="13.8"/>
    <row r="1964" s="21" customFormat="1" ht="13.8"/>
    <row r="1965" s="21" customFormat="1" ht="13.8"/>
    <row r="1966" s="21" customFormat="1" ht="13.8"/>
    <row r="1967" s="21" customFormat="1" ht="13.8"/>
    <row r="1968" s="21" customFormat="1" ht="13.8"/>
    <row r="1969" s="21" customFormat="1" ht="13.8"/>
    <row r="1970" s="21" customFormat="1" ht="13.8"/>
    <row r="1971" s="21" customFormat="1" ht="13.8"/>
    <row r="1972" s="21" customFormat="1" ht="13.8"/>
    <row r="1973" s="21" customFormat="1" ht="13.8"/>
    <row r="1974" s="21" customFormat="1" ht="13.8"/>
    <row r="1975" s="21" customFormat="1" ht="13.8"/>
    <row r="1976" s="21" customFormat="1" ht="13.8"/>
    <row r="1977" s="21" customFormat="1" ht="13.8"/>
    <row r="1978" s="21" customFormat="1" ht="13.8"/>
    <row r="1979" s="21" customFormat="1" ht="13.8"/>
    <row r="1980" s="21" customFormat="1" ht="13.8"/>
    <row r="1981" s="21" customFormat="1" ht="13.8"/>
    <row r="1982" s="21" customFormat="1" ht="13.8"/>
    <row r="1983" s="21" customFormat="1" ht="13.8"/>
    <row r="1984" s="21" customFormat="1" ht="13.8"/>
    <row r="1985" s="21" customFormat="1" ht="13.8"/>
    <row r="1986" s="21" customFormat="1" ht="13.8"/>
    <row r="1987" s="21" customFormat="1" ht="13.8"/>
    <row r="1988" s="21" customFormat="1" ht="13.8"/>
    <row r="1989" s="21" customFormat="1" ht="13.8"/>
    <row r="1990" s="21" customFormat="1" ht="13.8"/>
    <row r="1991" s="21" customFormat="1" ht="13.8"/>
    <row r="1992" s="21" customFormat="1" ht="13.8"/>
    <row r="1993" s="21" customFormat="1" ht="13.8"/>
    <row r="1994" s="21" customFormat="1" ht="13.8"/>
    <row r="1995" s="21" customFormat="1" ht="13.8"/>
    <row r="1996" s="21" customFormat="1" ht="13.8"/>
    <row r="1997" s="21" customFormat="1" ht="13.8"/>
    <row r="1998" s="21" customFormat="1" ht="13.8"/>
    <row r="1999" s="21" customFormat="1" ht="13.8"/>
    <row r="2000" s="21" customFormat="1" ht="13.8"/>
    <row r="2001" s="21" customFormat="1" ht="13.8"/>
    <row r="2002" s="21" customFormat="1" ht="13.8"/>
    <row r="2003" s="21" customFormat="1" ht="13.8"/>
    <row r="2004" s="21" customFormat="1" ht="13.8"/>
    <row r="2005" s="21" customFormat="1" ht="13.8"/>
    <row r="2006" s="21" customFormat="1" ht="13.8"/>
    <row r="2007" s="21" customFormat="1" ht="13.8"/>
    <row r="2008" s="21" customFormat="1" ht="13.8"/>
    <row r="2009" s="21" customFormat="1" ht="13.8"/>
    <row r="2010" s="21" customFormat="1" ht="13.8"/>
    <row r="2011" s="21" customFormat="1" ht="13.8"/>
    <row r="2012" s="21" customFormat="1" ht="13.8"/>
    <row r="2013" s="21" customFormat="1" ht="13.8"/>
    <row r="2014" s="21" customFormat="1" ht="13.8"/>
    <row r="2015" s="21" customFormat="1" ht="13.8"/>
    <row r="2016" s="21" customFormat="1" ht="13.8"/>
    <row r="2017" s="21" customFormat="1" ht="13.8"/>
    <row r="2018" s="21" customFormat="1" ht="13.8"/>
    <row r="2019" s="21" customFormat="1" ht="13.8"/>
    <row r="2020" s="21" customFormat="1" ht="13.8"/>
    <row r="2021" s="21" customFormat="1" ht="13.8"/>
    <row r="2022" s="21" customFormat="1" ht="13.8"/>
    <row r="2023" s="21" customFormat="1" ht="13.8"/>
    <row r="2024" s="21" customFormat="1" ht="13.8"/>
    <row r="2025" s="21" customFormat="1" ht="13.8"/>
    <row r="2026" s="21" customFormat="1" ht="13.8"/>
    <row r="2027" s="21" customFormat="1" ht="13.8"/>
    <row r="2028" s="21" customFormat="1" ht="13.8"/>
    <row r="2029" s="21" customFormat="1" ht="13.8"/>
    <row r="2030" s="21" customFormat="1" ht="13.8"/>
    <row r="2031" s="21" customFormat="1" ht="13.8"/>
    <row r="2032" s="21" customFormat="1" ht="13.8"/>
    <row r="2033" s="21" customFormat="1" ht="13.8"/>
    <row r="2034" s="21" customFormat="1" ht="13.8"/>
    <row r="2035" s="21" customFormat="1" ht="13.8"/>
    <row r="2036" s="21" customFormat="1" ht="13.8"/>
    <row r="2037" s="21" customFormat="1" ht="13.8"/>
    <row r="2038" s="21" customFormat="1" ht="13.8"/>
    <row r="2039" s="21" customFormat="1" ht="13.8"/>
    <row r="2040" s="21" customFormat="1" ht="13.8"/>
    <row r="2041" s="21" customFormat="1" ht="13.8"/>
    <row r="2042" s="21" customFormat="1" ht="13.8"/>
    <row r="2043" s="21" customFormat="1" ht="13.8"/>
    <row r="2044" s="21" customFormat="1" ht="13.8"/>
    <row r="2045" s="21" customFormat="1" ht="13.8"/>
    <row r="2046" s="21" customFormat="1" ht="13.8"/>
    <row r="2047" s="21" customFormat="1" ht="13.8"/>
    <row r="2048" s="21" customFormat="1" ht="13.8"/>
    <row r="2049" s="21" customFormat="1" ht="13.8"/>
    <row r="2050" s="21" customFormat="1" ht="13.8"/>
    <row r="2051" s="21" customFormat="1" ht="13.8"/>
    <row r="2052" s="21" customFormat="1" ht="13.8"/>
    <row r="2053" s="21" customFormat="1" ht="13.8"/>
    <row r="2054" s="21" customFormat="1" ht="13.8"/>
    <row r="2055" s="21" customFormat="1" ht="13.8"/>
    <row r="2056" s="21" customFormat="1" ht="13.8"/>
    <row r="2057" s="21" customFormat="1" ht="13.8"/>
    <row r="2058" s="21" customFormat="1" ht="13.8"/>
    <row r="2059" s="21" customFormat="1" ht="13.8"/>
    <row r="2060" s="21" customFormat="1" ht="13.8"/>
    <row r="2061" s="21" customFormat="1" ht="13.8"/>
    <row r="2062" s="21" customFormat="1" ht="13.8"/>
    <row r="2063" s="21" customFormat="1" ht="13.8"/>
    <row r="2064" s="21" customFormat="1" ht="13.8"/>
    <row r="2065" s="21" customFormat="1" ht="13.8"/>
    <row r="2066" s="21" customFormat="1" ht="13.8"/>
    <row r="2067" s="21" customFormat="1" ht="13.8"/>
    <row r="2068" s="21" customFormat="1" ht="13.8"/>
    <row r="2069" s="21" customFormat="1" ht="13.8"/>
    <row r="2070" s="21" customFormat="1" ht="13.8"/>
    <row r="2071" s="21" customFormat="1" ht="13.8"/>
    <row r="2072" s="21" customFormat="1" ht="13.8"/>
    <row r="2073" s="21" customFormat="1" ht="13.8"/>
    <row r="2074" s="21" customFormat="1" ht="13.8"/>
    <row r="2075" s="21" customFormat="1" ht="13.8"/>
    <row r="2076" s="21" customFormat="1" ht="13.8"/>
    <row r="2077" s="21" customFormat="1" ht="13.8"/>
    <row r="2078" s="21" customFormat="1" ht="13.8"/>
    <row r="2079" s="21" customFormat="1" ht="13.8"/>
    <row r="2080" s="21" customFormat="1" ht="13.8"/>
    <row r="2081" s="21" customFormat="1" ht="13.8"/>
    <row r="2082" s="21" customFormat="1" ht="13.8"/>
    <row r="2083" s="21" customFormat="1" ht="13.8"/>
    <row r="2084" s="21" customFormat="1" ht="13.8"/>
    <row r="2085" s="21" customFormat="1" ht="13.8"/>
    <row r="2086" s="21" customFormat="1" ht="13.8"/>
    <row r="2087" s="21" customFormat="1" ht="13.8"/>
    <row r="2088" s="21" customFormat="1" ht="13.8"/>
    <row r="2089" s="21" customFormat="1" ht="13.8"/>
    <row r="2090" s="21" customFormat="1" ht="13.8"/>
    <row r="2091" s="21" customFormat="1" ht="13.8"/>
    <row r="2092" s="21" customFormat="1" ht="13.8"/>
    <row r="2093" s="21" customFormat="1" ht="13.8"/>
    <row r="2094" s="21" customFormat="1" ht="13.8"/>
    <row r="2095" s="21" customFormat="1" ht="13.8"/>
    <row r="2096" s="21" customFormat="1" ht="13.8"/>
    <row r="2097" s="21" customFormat="1" ht="13.8"/>
    <row r="2098" s="21" customFormat="1" ht="13.8"/>
    <row r="2099" s="21" customFormat="1" ht="13.8"/>
    <row r="2100" s="21" customFormat="1" ht="13.8"/>
    <row r="2101" s="21" customFormat="1" ht="13.8"/>
    <row r="2102" s="21" customFormat="1" ht="13.8"/>
    <row r="2103" s="21" customFormat="1" ht="13.8"/>
    <row r="2104" s="21" customFormat="1" ht="13.8"/>
    <row r="2105" s="21" customFormat="1" ht="13.8"/>
    <row r="2106" s="21" customFormat="1" ht="13.8"/>
    <row r="2107" s="21" customFormat="1" ht="13.8"/>
    <row r="2108" s="21" customFormat="1" ht="13.8"/>
    <row r="2109" s="21" customFormat="1" ht="13.8"/>
    <row r="2110" s="21" customFormat="1" ht="13.8"/>
    <row r="2111" s="21" customFormat="1" ht="13.8"/>
    <row r="2112" s="21" customFormat="1" ht="13.8"/>
    <row r="2113" s="21" customFormat="1" ht="13.8"/>
    <row r="2114" s="21" customFormat="1" ht="13.8"/>
    <row r="2115" s="21" customFormat="1" ht="13.8"/>
    <row r="2116" s="21" customFormat="1" ht="13.8"/>
    <row r="2117" s="21" customFormat="1" ht="13.8"/>
    <row r="2118" s="21" customFormat="1" ht="13.8"/>
    <row r="2119" s="21" customFormat="1" ht="13.8"/>
    <row r="2120" s="21" customFormat="1" ht="13.8"/>
    <row r="2121" s="21" customFormat="1" ht="13.8"/>
    <row r="2122" s="21" customFormat="1" ht="13.8"/>
    <row r="2123" s="21" customFormat="1" ht="13.8"/>
    <row r="2124" s="21" customFormat="1" ht="13.8"/>
    <row r="2125" s="21" customFormat="1" ht="13.8"/>
    <row r="2126" s="21" customFormat="1" ht="13.8"/>
    <row r="2127" s="21" customFormat="1" ht="13.8"/>
    <row r="2128" s="21" customFormat="1" ht="13.8"/>
    <row r="2129" s="21" customFormat="1" ht="13.8"/>
    <row r="2130" s="21" customFormat="1" ht="13.8"/>
    <row r="2131" s="21" customFormat="1" ht="13.8"/>
    <row r="2132" s="21" customFormat="1" ht="13.8"/>
    <row r="2133" s="21" customFormat="1" ht="13.8"/>
    <row r="2134" s="21" customFormat="1" ht="13.8"/>
    <row r="2135" s="21" customFormat="1" ht="13.8"/>
    <row r="2136" s="21" customFormat="1" ht="13.8"/>
    <row r="2137" s="21" customFormat="1" ht="13.8"/>
    <row r="2138" s="21" customFormat="1" ht="13.8"/>
    <row r="2139" s="21" customFormat="1" ht="13.8"/>
    <row r="2140" s="21" customFormat="1" ht="13.8"/>
    <row r="2141" s="21" customFormat="1" ht="13.8"/>
    <row r="2142" s="21" customFormat="1" ht="13.8"/>
    <row r="2143" s="21" customFormat="1" ht="13.8"/>
    <row r="2144" s="21" customFormat="1" ht="13.8"/>
    <row r="2145" s="21" customFormat="1" ht="13.8"/>
    <row r="2146" s="21" customFormat="1" ht="13.8"/>
    <row r="2147" s="21" customFormat="1" ht="13.8"/>
    <row r="2148" s="21" customFormat="1" ht="13.8"/>
    <row r="2149" s="21" customFormat="1" ht="13.8"/>
    <row r="2150" s="21" customFormat="1" ht="13.8"/>
    <row r="2151" s="21" customFormat="1" ht="13.8"/>
    <row r="2152" s="21" customFormat="1" ht="13.8"/>
    <row r="2153" s="21" customFormat="1" ht="13.8"/>
    <row r="2154" s="21" customFormat="1" ht="13.8"/>
    <row r="2155" s="21" customFormat="1" ht="13.8"/>
    <row r="2156" s="21" customFormat="1" ht="13.8"/>
    <row r="2157" s="21" customFormat="1" ht="13.8"/>
    <row r="2158" s="21" customFormat="1" ht="13.8"/>
    <row r="2159" s="21" customFormat="1" ht="13.8"/>
    <row r="2160" s="21" customFormat="1" ht="13.8"/>
    <row r="2161" s="21" customFormat="1" ht="13.8"/>
    <row r="2162" s="21" customFormat="1" ht="13.8"/>
    <row r="2163" s="21" customFormat="1" ht="13.8"/>
    <row r="2164" s="21" customFormat="1" ht="13.8"/>
    <row r="2165" s="21" customFormat="1" ht="13.8"/>
    <row r="2166" s="21" customFormat="1" ht="13.8"/>
    <row r="2167" s="21" customFormat="1" ht="13.8"/>
    <row r="2168" s="21" customFormat="1" ht="13.8"/>
    <row r="2169" s="21" customFormat="1" ht="13.8"/>
    <row r="2170" s="21" customFormat="1" ht="13.8"/>
    <row r="2171" s="21" customFormat="1" ht="13.8"/>
    <row r="2172" s="21" customFormat="1" ht="13.8"/>
    <row r="2173" s="21" customFormat="1" ht="13.8"/>
    <row r="2174" s="21" customFormat="1" ht="13.8"/>
    <row r="2175" s="21" customFormat="1" ht="13.8"/>
    <row r="2176" s="21" customFormat="1" ht="13.8"/>
    <row r="2177" s="21" customFormat="1" ht="13.8"/>
    <row r="2178" s="21" customFormat="1" ht="13.8"/>
    <row r="2179" s="21" customFormat="1" ht="13.8"/>
    <row r="2180" s="21" customFormat="1" ht="13.8"/>
    <row r="2181" s="21" customFormat="1" ht="13.8"/>
    <row r="2182" s="21" customFormat="1" ht="13.8"/>
    <row r="2183" s="21" customFormat="1" ht="13.8"/>
    <row r="2184" s="21" customFormat="1" ht="13.8"/>
    <row r="2185" s="21" customFormat="1" ht="13.8"/>
    <row r="2186" s="21" customFormat="1" ht="13.8"/>
    <row r="2187" s="21" customFormat="1" ht="13.8"/>
    <row r="2188" s="21" customFormat="1" ht="13.8"/>
    <row r="2189" s="21" customFormat="1" ht="13.8"/>
    <row r="2190" s="21" customFormat="1" ht="13.8"/>
    <row r="2191" s="21" customFormat="1" ht="13.8"/>
    <row r="2192" s="21" customFormat="1" ht="13.8"/>
    <row r="2193" s="21" customFormat="1" ht="13.8"/>
    <row r="2194" s="21" customFormat="1" ht="13.8"/>
    <row r="2195" s="21" customFormat="1" ht="13.8"/>
    <row r="2196" s="21" customFormat="1" ht="13.8"/>
    <row r="2197" s="21" customFormat="1" ht="13.8"/>
    <row r="2198" s="21" customFormat="1" ht="13.8"/>
    <row r="2199" s="21" customFormat="1" ht="13.8"/>
    <row r="2200" s="21" customFormat="1" ht="13.8"/>
    <row r="2201" s="21" customFormat="1" ht="13.8"/>
    <row r="2202" s="21" customFormat="1" ht="13.8"/>
    <row r="2203" s="21" customFormat="1" ht="13.8"/>
    <row r="2204" s="21" customFormat="1" ht="13.8"/>
    <row r="2205" s="21" customFormat="1" ht="13.8"/>
    <row r="2206" s="21" customFormat="1" ht="13.8"/>
    <row r="2207" s="21" customFormat="1" ht="13.8"/>
    <row r="2208" s="21" customFormat="1" ht="13.8"/>
    <row r="2209" s="21" customFormat="1" ht="13.8"/>
    <row r="2210" s="21" customFormat="1" ht="13.8"/>
    <row r="2211" s="21" customFormat="1" ht="13.8"/>
    <row r="2212" s="21" customFormat="1" ht="13.8"/>
    <row r="2213" s="21" customFormat="1" ht="13.8"/>
    <row r="2214" s="21" customFormat="1" ht="13.8"/>
    <row r="2215" s="21" customFormat="1" ht="13.8"/>
    <row r="2216" s="21" customFormat="1" ht="13.8"/>
    <row r="2217" s="21" customFormat="1" ht="13.8"/>
    <row r="2218" s="21" customFormat="1" ht="13.8"/>
    <row r="2219" s="21" customFormat="1" ht="13.8"/>
    <row r="2220" s="21" customFormat="1" ht="13.8"/>
    <row r="2221" s="21" customFormat="1" ht="13.8"/>
    <row r="2222" s="21" customFormat="1" ht="13.8"/>
    <row r="2223" s="21" customFormat="1" ht="13.8"/>
    <row r="2224" s="21" customFormat="1" ht="13.8"/>
    <row r="2225" s="21" customFormat="1" ht="13.8"/>
    <row r="2226" s="21" customFormat="1" ht="13.8"/>
    <row r="2227" s="21" customFormat="1" ht="13.8"/>
    <row r="2228" s="21" customFormat="1" ht="13.8"/>
    <row r="2229" s="21" customFormat="1" ht="13.8"/>
    <row r="2230" s="21" customFormat="1" ht="13.8"/>
    <row r="2231" s="21" customFormat="1" ht="13.8"/>
    <row r="2232" s="21" customFormat="1" ht="13.8"/>
    <row r="2233" s="21" customFormat="1" ht="13.8"/>
    <row r="2234" s="21" customFormat="1" ht="13.8"/>
    <row r="2235" s="21" customFormat="1" ht="13.8"/>
    <row r="2236" s="21" customFormat="1" ht="13.8"/>
    <row r="2237" s="21" customFormat="1" ht="13.8"/>
    <row r="2238" s="21" customFormat="1" ht="13.8"/>
    <row r="2239" s="21" customFormat="1" ht="13.8"/>
    <row r="2240" s="21" customFormat="1" ht="13.8"/>
    <row r="2241" s="21" customFormat="1" ht="13.8"/>
    <row r="2242" s="21" customFormat="1" ht="13.8"/>
    <row r="2243" s="21" customFormat="1" ht="13.8"/>
    <row r="2244" s="21" customFormat="1" ht="13.8"/>
    <row r="2245" s="21" customFormat="1" ht="13.8"/>
    <row r="2246" s="21" customFormat="1" ht="13.8"/>
    <row r="2247" s="21" customFormat="1" ht="13.8"/>
    <row r="2248" s="21" customFormat="1" ht="13.8"/>
    <row r="2249" s="21" customFormat="1" ht="13.8"/>
    <row r="2250" s="21" customFormat="1" ht="13.8"/>
    <row r="2251" s="21" customFormat="1" ht="13.8"/>
    <row r="2252" s="21" customFormat="1" ht="13.8"/>
    <row r="2253" s="21" customFormat="1" ht="13.8"/>
    <row r="2254" s="21" customFormat="1" ht="13.8"/>
    <row r="2255" s="21" customFormat="1" ht="13.8"/>
    <row r="2256" s="21" customFormat="1" ht="13.8"/>
    <row r="2257" s="21" customFormat="1" ht="13.8"/>
    <row r="2258" s="21" customFormat="1" ht="13.8"/>
    <row r="2259" s="21" customFormat="1" ht="13.8"/>
    <row r="2260" s="21" customFormat="1" ht="13.8"/>
    <row r="2261" s="21" customFormat="1" ht="13.8"/>
    <row r="2262" s="21" customFormat="1" ht="13.8"/>
    <row r="2263" s="21" customFormat="1" ht="13.8"/>
    <row r="2264" s="21" customFormat="1" ht="13.8"/>
    <row r="2265" s="21" customFormat="1" ht="13.8"/>
    <row r="2266" s="21" customFormat="1" ht="13.8"/>
    <row r="2267" s="21" customFormat="1" ht="13.8"/>
    <row r="2268" s="21" customFormat="1" ht="13.8"/>
    <row r="2269" s="21" customFormat="1" ht="13.8"/>
    <row r="2270" s="21" customFormat="1" ht="13.8"/>
    <row r="2271" s="21" customFormat="1" ht="13.8"/>
    <row r="2272" s="21" customFormat="1" ht="13.8"/>
    <row r="2273" s="21" customFormat="1" ht="13.8"/>
    <row r="2274" s="21" customFormat="1" ht="13.8"/>
    <row r="2275" s="21" customFormat="1" ht="13.8"/>
    <row r="2276" s="21" customFormat="1" ht="13.8"/>
    <row r="2277" s="21" customFormat="1" ht="13.8"/>
    <row r="2278" s="21" customFormat="1" ht="13.8"/>
    <row r="2279" s="21" customFormat="1" ht="13.8"/>
    <row r="2280" s="21" customFormat="1" ht="13.8"/>
    <row r="2281" s="21" customFormat="1" ht="13.8"/>
    <row r="2282" s="21" customFormat="1" ht="13.8"/>
    <row r="2283" s="21" customFormat="1" ht="13.8"/>
    <row r="2284" s="21" customFormat="1" ht="13.8"/>
    <row r="2285" s="21" customFormat="1" ht="13.8"/>
    <row r="2286" s="21" customFormat="1" ht="13.8"/>
    <row r="2287" s="21" customFormat="1" ht="13.8"/>
    <row r="2288" s="21" customFormat="1" ht="13.8"/>
    <row r="2289" s="21" customFormat="1" ht="13.8"/>
    <row r="2290" s="21" customFormat="1" ht="13.8"/>
    <row r="2291" s="21" customFormat="1" ht="13.8"/>
    <row r="2292" s="21" customFormat="1" ht="13.8"/>
    <row r="2293" s="21" customFormat="1" ht="13.8"/>
    <row r="2294" s="21" customFormat="1" ht="13.8"/>
    <row r="2295" s="21" customFormat="1" ht="13.8"/>
    <row r="2296" s="21" customFormat="1" ht="13.8"/>
    <row r="2297" s="21" customFormat="1" ht="13.8"/>
    <row r="2298" s="21" customFormat="1" ht="13.8"/>
    <row r="2299" s="21" customFormat="1" ht="13.8"/>
    <row r="2300" s="21" customFormat="1" ht="13.8"/>
    <row r="2301" s="21" customFormat="1" ht="13.8"/>
    <row r="2302" s="21" customFormat="1" ht="13.8"/>
    <row r="2303" s="21" customFormat="1" ht="13.8"/>
    <row r="2304" s="21" customFormat="1" ht="13.8"/>
    <row r="2305" s="21" customFormat="1" ht="13.8"/>
    <row r="2306" s="21" customFormat="1" ht="13.8"/>
    <row r="2307" s="21" customFormat="1" ht="13.8"/>
    <row r="2308" s="21" customFormat="1" ht="13.8"/>
    <row r="2309" s="21" customFormat="1" ht="13.8"/>
    <row r="2310" s="21" customFormat="1" ht="13.8"/>
    <row r="2311" s="21" customFormat="1" ht="13.8"/>
    <row r="2312" s="21" customFormat="1" ht="13.8"/>
    <row r="2313" s="21" customFormat="1" ht="13.8"/>
    <row r="2314" s="21" customFormat="1" ht="13.8"/>
    <row r="2315" s="21" customFormat="1" ht="13.8"/>
    <row r="2316" s="21" customFormat="1" ht="13.8"/>
    <row r="2317" s="21" customFormat="1" ht="13.8"/>
    <row r="2318" s="21" customFormat="1" ht="13.8"/>
    <row r="2319" s="21" customFormat="1" ht="13.8"/>
    <row r="2320" s="21" customFormat="1" ht="13.8"/>
    <row r="2321" s="21" customFormat="1" ht="13.8"/>
    <row r="2322" s="21" customFormat="1" ht="13.8"/>
    <row r="2323" s="21" customFormat="1" ht="13.8"/>
    <row r="2324" s="21" customFormat="1" ht="13.8"/>
    <row r="2325" s="21" customFormat="1" ht="13.8"/>
    <row r="2326" s="21" customFormat="1" ht="13.8"/>
    <row r="2327" s="21" customFormat="1" ht="13.8"/>
    <row r="2328" s="21" customFormat="1" ht="13.8"/>
    <row r="2329" s="21" customFormat="1" ht="13.8"/>
    <row r="2330" s="21" customFormat="1" ht="13.8"/>
    <row r="2331" s="21" customFormat="1" ht="13.8"/>
    <row r="2332" s="21" customFormat="1" ht="13.8"/>
    <row r="2333" s="21" customFormat="1" ht="13.8"/>
    <row r="2334" s="21" customFormat="1" ht="13.8"/>
    <row r="2335" s="21" customFormat="1" ht="13.8"/>
    <row r="2336" s="21" customFormat="1" ht="13.8"/>
    <row r="2337" s="21" customFormat="1" ht="13.8"/>
    <row r="2338" s="21" customFormat="1" ht="13.8"/>
    <row r="2339" s="21" customFormat="1" ht="13.8"/>
    <row r="2340" s="21" customFormat="1" ht="13.8"/>
    <row r="2341" s="21" customFormat="1" ht="13.8"/>
    <row r="2342" s="21" customFormat="1" ht="13.8"/>
    <row r="2343" s="21" customFormat="1" ht="13.8"/>
    <row r="2344" s="21" customFormat="1" ht="13.8"/>
    <row r="2345" s="21" customFormat="1" ht="13.8"/>
    <row r="2346" s="21" customFormat="1" ht="13.8"/>
    <row r="2347" s="21" customFormat="1" ht="13.8"/>
    <row r="2348" s="21" customFormat="1" ht="13.8"/>
    <row r="2349" s="21" customFormat="1" ht="13.8"/>
    <row r="2350" s="21" customFormat="1" ht="13.8"/>
    <row r="2351" s="21" customFormat="1" ht="13.8"/>
    <row r="2352" s="21" customFormat="1" ht="13.8"/>
    <row r="2353" s="21" customFormat="1" ht="13.8"/>
    <row r="2354" s="21" customFormat="1" ht="13.8"/>
    <row r="2355" s="21" customFormat="1" ht="13.8"/>
    <row r="2356" s="21" customFormat="1" ht="13.8"/>
    <row r="2357" s="21" customFormat="1" ht="13.8"/>
    <row r="2358" s="21" customFormat="1" ht="13.8"/>
    <row r="2359" s="21" customFormat="1" ht="13.8"/>
    <row r="2360" s="21" customFormat="1" ht="13.8"/>
    <row r="2361" s="21" customFormat="1" ht="13.8"/>
    <row r="2362" s="21" customFormat="1" ht="13.8"/>
    <row r="2363" s="21" customFormat="1" ht="13.8"/>
    <row r="2364" s="21" customFormat="1" ht="13.8"/>
    <row r="2365" s="21" customFormat="1" ht="13.8"/>
    <row r="2366" s="21" customFormat="1" ht="13.8"/>
    <row r="2367" s="21" customFormat="1" ht="13.8"/>
    <row r="2368" s="21" customFormat="1" ht="13.8"/>
    <row r="2369" s="21" customFormat="1" ht="13.8"/>
    <row r="2370" s="21" customFormat="1" ht="13.8"/>
    <row r="2371" s="21" customFormat="1" ht="13.8"/>
    <row r="2372" s="21" customFormat="1" ht="13.8"/>
    <row r="2373" s="21" customFormat="1" ht="13.8"/>
    <row r="2374" s="21" customFormat="1" ht="13.8"/>
    <row r="2375" s="21" customFormat="1" ht="13.8"/>
    <row r="2376" s="21" customFormat="1" ht="13.8"/>
    <row r="2377" s="21" customFormat="1" ht="13.8"/>
    <row r="2378" s="21" customFormat="1" ht="13.8"/>
    <row r="2379" s="21" customFormat="1" ht="13.8"/>
    <row r="2380" s="21" customFormat="1" ht="13.8"/>
    <row r="2381" s="21" customFormat="1" ht="13.8"/>
    <row r="2382" s="21" customFormat="1" ht="13.8"/>
    <row r="2383" s="21" customFormat="1" ht="13.8"/>
    <row r="2384" s="21" customFormat="1" ht="13.8"/>
    <row r="2385" s="21" customFormat="1" ht="13.8"/>
    <row r="2386" s="21" customFormat="1" ht="13.8"/>
    <row r="2387" s="21" customFormat="1" ht="13.8"/>
    <row r="2388" s="21" customFormat="1" ht="13.8"/>
    <row r="2389" s="21" customFormat="1" ht="13.8"/>
    <row r="2390" s="21" customFormat="1" ht="13.8"/>
    <row r="2391" s="21" customFormat="1" ht="13.8"/>
    <row r="2392" s="21" customFormat="1" ht="13.8"/>
    <row r="2393" s="21" customFormat="1" ht="13.8"/>
    <row r="2394" s="21" customFormat="1" ht="13.8"/>
    <row r="2395" s="21" customFormat="1" ht="13.8"/>
    <row r="2396" s="21" customFormat="1" ht="13.8"/>
    <row r="2397" s="21" customFormat="1" ht="13.8"/>
    <row r="2398" s="21" customFormat="1" ht="13.8"/>
    <row r="2399" s="21" customFormat="1" ht="13.8"/>
    <row r="2400" s="21" customFormat="1" ht="13.8"/>
    <row r="2401" s="21" customFormat="1" ht="13.8"/>
    <row r="2402" s="21" customFormat="1" ht="13.8"/>
    <row r="2403" s="21" customFormat="1" ht="13.8"/>
    <row r="2404" s="21" customFormat="1" ht="13.8"/>
    <row r="2405" s="21" customFormat="1" ht="13.8"/>
    <row r="2406" s="21" customFormat="1" ht="13.8"/>
    <row r="2407" s="21" customFormat="1" ht="13.8"/>
    <row r="2408" s="21" customFormat="1" ht="13.8"/>
    <row r="2409" s="21" customFormat="1" ht="13.8"/>
    <row r="2410" s="21" customFormat="1" ht="13.8"/>
    <row r="2411" s="21" customFormat="1" ht="13.8"/>
    <row r="2412" s="21" customFormat="1" ht="13.8"/>
    <row r="2413" s="21" customFormat="1" ht="13.8"/>
    <row r="2414" s="21" customFormat="1" ht="13.8"/>
    <row r="2415" s="21" customFormat="1" ht="13.8"/>
    <row r="2416" s="21" customFormat="1" ht="13.8"/>
    <row r="2417" s="21" customFormat="1" ht="13.8"/>
    <row r="2418" s="21" customFormat="1" ht="13.8"/>
    <row r="2419" s="21" customFormat="1" ht="13.8"/>
    <row r="2420" s="21" customFormat="1" ht="13.8"/>
    <row r="2421" s="21" customFormat="1" ht="13.8"/>
    <row r="2422" s="21" customFormat="1" ht="13.8"/>
    <row r="2423" s="21" customFormat="1" ht="13.8"/>
    <row r="2424" s="21" customFormat="1" ht="13.8"/>
    <row r="2425" s="21" customFormat="1" ht="13.8"/>
    <row r="2426" s="21" customFormat="1" ht="13.8"/>
    <row r="2427" s="21" customFormat="1" ht="13.8"/>
    <row r="2428" s="21" customFormat="1" ht="13.8"/>
    <row r="2429" s="21" customFormat="1" ht="13.8"/>
    <row r="2430" s="21" customFormat="1" ht="13.8"/>
    <row r="2431" s="21" customFormat="1" ht="13.8"/>
    <row r="2432" s="21" customFormat="1" ht="13.8"/>
    <row r="2433" s="21" customFormat="1" ht="13.8"/>
    <row r="2434" s="21" customFormat="1" ht="13.8"/>
    <row r="2435" s="21" customFormat="1" ht="13.8"/>
    <row r="2436" s="21" customFormat="1" ht="13.8"/>
    <row r="2437" s="21" customFormat="1" ht="13.8"/>
    <row r="2438" s="21" customFormat="1" ht="13.8"/>
    <row r="2439" s="21" customFormat="1" ht="13.8"/>
    <row r="2440" s="21" customFormat="1" ht="13.8"/>
    <row r="2441" s="21" customFormat="1" ht="13.8"/>
    <row r="2442" s="21" customFormat="1" ht="13.8"/>
    <row r="2443" s="21" customFormat="1" ht="13.8"/>
    <row r="2444" s="21" customFormat="1" ht="13.8"/>
    <row r="2445" s="21" customFormat="1" ht="13.8"/>
    <row r="2446" s="21" customFormat="1" ht="13.8"/>
    <row r="2447" s="21" customFormat="1" ht="13.8"/>
    <row r="2448" s="21" customFormat="1" ht="13.8"/>
    <row r="2449" s="21" customFormat="1" ht="13.8"/>
    <row r="2450" s="21" customFormat="1" ht="13.8"/>
    <row r="2451" s="21" customFormat="1" ht="13.8"/>
    <row r="2452" s="21" customFormat="1" ht="13.8"/>
    <row r="2453" s="21" customFormat="1" ht="13.8"/>
    <row r="2454" s="21" customFormat="1" ht="13.8"/>
    <row r="2455" s="21" customFormat="1" ht="13.8"/>
    <row r="2456" s="21" customFormat="1" ht="13.8"/>
    <row r="2457" s="21" customFormat="1" ht="13.8"/>
    <row r="2458" s="21" customFormat="1" ht="13.8"/>
    <row r="2459" s="21" customFormat="1" ht="13.8"/>
    <row r="2460" s="21" customFormat="1" ht="13.8"/>
    <row r="2461" s="21" customFormat="1" ht="13.8"/>
    <row r="2462" s="21" customFormat="1" ht="13.8"/>
    <row r="2463" s="21" customFormat="1" ht="13.8"/>
    <row r="2464" s="21" customFormat="1" ht="13.8"/>
    <row r="2465" s="21" customFormat="1" ht="13.8"/>
    <row r="2466" s="21" customFormat="1" ht="13.8"/>
    <row r="2467" s="21" customFormat="1" ht="13.8"/>
    <row r="2468" s="21" customFormat="1" ht="13.8"/>
    <row r="2469" s="21" customFormat="1" ht="13.8"/>
    <row r="2470" s="21" customFormat="1" ht="13.8"/>
    <row r="2471" s="21" customFormat="1" ht="13.8"/>
    <row r="2472" s="21" customFormat="1" ht="13.8"/>
    <row r="2473" s="21" customFormat="1" ht="13.8"/>
    <row r="2474" s="21" customFormat="1" ht="13.8"/>
    <row r="2475" s="21" customFormat="1" ht="13.8"/>
    <row r="2476" s="21" customFormat="1" ht="13.8"/>
    <row r="2477" s="21" customFormat="1" ht="13.8"/>
    <row r="2478" s="21" customFormat="1" ht="13.8"/>
    <row r="2479" s="21" customFormat="1" ht="13.8"/>
    <row r="2480" s="21" customFormat="1" ht="13.8"/>
    <row r="2481" s="21" customFormat="1" ht="13.8"/>
    <row r="2482" s="21" customFormat="1" ht="13.8"/>
    <row r="2483" s="21" customFormat="1" ht="13.8"/>
    <row r="2484" s="21" customFormat="1" ht="13.8"/>
    <row r="2485" s="21" customFormat="1" ht="13.8"/>
    <row r="2486" s="21" customFormat="1" ht="13.8"/>
    <row r="2487" s="21" customFormat="1" ht="13.8"/>
    <row r="2488" s="21" customFormat="1" ht="13.8"/>
    <row r="2489" s="21" customFormat="1" ht="13.8"/>
    <row r="2490" s="21" customFormat="1" ht="13.8"/>
    <row r="2491" s="21" customFormat="1" ht="13.8"/>
    <row r="2492" s="21" customFormat="1" ht="13.8"/>
    <row r="2493" s="21" customFormat="1" ht="13.8"/>
    <row r="2494" s="21" customFormat="1" ht="13.8"/>
    <row r="2495" s="21" customFormat="1" ht="13.8"/>
    <row r="2496" s="21" customFormat="1" ht="13.8"/>
    <row r="2497" s="21" customFormat="1" ht="13.8"/>
    <row r="2498" s="21" customFormat="1" ht="13.8"/>
    <row r="2499" s="21" customFormat="1" ht="13.8"/>
    <row r="2500" s="21" customFormat="1" ht="13.8"/>
    <row r="2501" s="21" customFormat="1" ht="13.8"/>
    <row r="2502" s="21" customFormat="1" ht="13.8"/>
    <row r="2503" s="21" customFormat="1" ht="13.8"/>
    <row r="2504" s="21" customFormat="1" ht="13.8"/>
    <row r="2505" s="21" customFormat="1" ht="13.8"/>
    <row r="2506" s="21" customFormat="1" ht="13.8"/>
    <row r="2507" s="21" customFormat="1" ht="13.8"/>
    <row r="2508" s="21" customFormat="1" ht="13.8"/>
    <row r="2509" s="21" customFormat="1" ht="13.8"/>
    <row r="2510" s="21" customFormat="1" ht="13.8"/>
    <row r="2511" s="21" customFormat="1" ht="13.8"/>
    <row r="2512" s="21" customFormat="1" ht="13.8"/>
    <row r="2513" s="21" customFormat="1" ht="13.8"/>
    <row r="2514" s="21" customFormat="1" ht="13.8"/>
    <row r="2515" s="21" customFormat="1" ht="13.8"/>
    <row r="2516" s="21" customFormat="1" ht="13.8"/>
    <row r="2517" s="21" customFormat="1" ht="13.8"/>
    <row r="2518" s="21" customFormat="1" ht="13.8"/>
    <row r="2519" s="21" customFormat="1" ht="13.8"/>
    <row r="2520" s="21" customFormat="1" ht="13.8"/>
    <row r="2521" s="21" customFormat="1" ht="13.8"/>
    <row r="2522" s="21" customFormat="1" ht="13.8"/>
    <row r="2523" s="21" customFormat="1" ht="13.8"/>
    <row r="2524" s="21" customFormat="1" ht="13.8"/>
    <row r="2525" s="21" customFormat="1" ht="13.8"/>
    <row r="2526" s="21" customFormat="1" ht="13.8"/>
    <row r="2527" s="21" customFormat="1" ht="13.8"/>
    <row r="2528" s="21" customFormat="1" ht="13.8"/>
    <row r="2529" s="21" customFormat="1" ht="13.8"/>
    <row r="2530" s="21" customFormat="1" ht="13.8"/>
    <row r="2531" s="21" customFormat="1" ht="13.8"/>
    <row r="2532" s="21" customFormat="1" ht="13.8"/>
    <row r="2533" s="21" customFormat="1" ht="13.8"/>
    <row r="2534" s="21" customFormat="1" ht="13.8"/>
    <row r="2535" s="21" customFormat="1" ht="13.8"/>
    <row r="2536" s="21" customFormat="1" ht="13.8"/>
    <row r="2537" s="21" customFormat="1" ht="13.8"/>
    <row r="2538" s="21" customFormat="1" ht="13.8"/>
    <row r="2539" s="21" customFormat="1" ht="13.8"/>
    <row r="2540" s="21" customFormat="1" ht="13.8"/>
    <row r="2541" s="21" customFormat="1" ht="13.8"/>
    <row r="2542" s="21" customFormat="1" ht="13.8"/>
    <row r="2543" s="21" customFormat="1" ht="13.8"/>
    <row r="2544" s="21" customFormat="1" ht="13.8"/>
    <row r="2545" s="21" customFormat="1" ht="13.8"/>
    <row r="2546" s="21" customFormat="1" ht="13.8"/>
    <row r="2547" s="21" customFormat="1" ht="13.8"/>
    <row r="2548" s="21" customFormat="1" ht="13.8"/>
    <row r="2549" s="21" customFormat="1" ht="13.8"/>
    <row r="2550" s="21" customFormat="1" ht="13.8"/>
    <row r="2551" s="21" customFormat="1" ht="13.8"/>
    <row r="2552" s="21" customFormat="1" ht="13.8"/>
    <row r="2553" s="21" customFormat="1" ht="13.8"/>
    <row r="2554" s="21" customFormat="1" ht="13.8"/>
    <row r="2555" s="21" customFormat="1" ht="13.8"/>
    <row r="2556" s="21" customFormat="1" ht="13.8"/>
    <row r="2557" s="21" customFormat="1" ht="13.8"/>
    <row r="2558" s="21" customFormat="1" ht="13.8"/>
    <row r="2559" s="21" customFormat="1" ht="13.8"/>
    <row r="2560" s="21" customFormat="1" ht="13.8"/>
    <row r="2561" s="21" customFormat="1" ht="13.8"/>
    <row r="2562" s="21" customFormat="1" ht="13.8"/>
    <row r="2563" s="21" customFormat="1" ht="13.8"/>
    <row r="2564" s="21" customFormat="1" ht="13.8"/>
    <row r="2565" s="21" customFormat="1" ht="13.8"/>
    <row r="2566" s="21" customFormat="1" ht="13.8"/>
    <row r="2567" s="21" customFormat="1" ht="13.8"/>
    <row r="2568" s="21" customFormat="1" ht="13.8"/>
    <row r="2569" s="21" customFormat="1" ht="13.8"/>
    <row r="2570" s="21" customFormat="1" ht="13.8"/>
    <row r="2571" s="21" customFormat="1" ht="13.8"/>
    <row r="2572" s="21" customFormat="1" ht="13.8"/>
    <row r="2573" s="21" customFormat="1" ht="13.8"/>
    <row r="2574" s="21" customFormat="1" ht="13.8"/>
    <row r="2575" s="21" customFormat="1" ht="13.8"/>
    <row r="2576" s="21" customFormat="1" ht="13.8"/>
    <row r="2577" s="21" customFormat="1" ht="13.8"/>
    <row r="2578" s="21" customFormat="1" ht="13.8"/>
    <row r="2579" s="21" customFormat="1" ht="13.8"/>
    <row r="2580" s="21" customFormat="1" ht="13.8"/>
    <row r="2581" s="21" customFormat="1" ht="13.8"/>
    <row r="2582" s="21" customFormat="1" ht="13.8"/>
    <row r="2583" s="21" customFormat="1" ht="13.8"/>
    <row r="2584" s="21" customFormat="1" ht="13.8"/>
    <row r="2585" s="21" customFormat="1" ht="13.8"/>
    <row r="2586" s="21" customFormat="1" ht="13.8"/>
    <row r="2587" s="21" customFormat="1" ht="13.8"/>
    <row r="2588" s="21" customFormat="1" ht="13.8"/>
    <row r="2589" s="21" customFormat="1" ht="13.8"/>
    <row r="2590" s="21" customFormat="1" ht="13.8"/>
    <row r="2591" s="21" customFormat="1" ht="13.8"/>
    <row r="2592" s="21" customFormat="1" ht="13.8"/>
    <row r="2593" s="21" customFormat="1" ht="13.8"/>
    <row r="2594" s="21" customFormat="1" ht="13.8"/>
    <row r="2595" s="21" customFormat="1" ht="13.8"/>
    <row r="2596" s="21" customFormat="1" ht="13.8"/>
    <row r="2597" s="21" customFormat="1" ht="13.8"/>
    <row r="2598" s="21" customFormat="1" ht="13.8"/>
    <row r="2599" s="21" customFormat="1" ht="13.8"/>
    <row r="2600" s="21" customFormat="1" ht="13.8"/>
    <row r="2601" s="21" customFormat="1" ht="13.8"/>
    <row r="2602" s="21" customFormat="1" ht="13.8"/>
    <row r="2603" s="21" customFormat="1" ht="13.8"/>
    <row r="2604" s="21" customFormat="1" ht="13.8"/>
    <row r="2605" s="21" customFormat="1" ht="13.8"/>
    <row r="2606" s="21" customFormat="1" ht="13.8"/>
    <row r="2607" s="21" customFormat="1" ht="13.8"/>
    <row r="2608" s="21" customFormat="1" ht="13.8"/>
    <row r="2609" s="21" customFormat="1" ht="13.8"/>
    <row r="2610" s="21" customFormat="1" ht="13.8"/>
    <row r="2611" s="21" customFormat="1" ht="13.8"/>
    <row r="2612" s="21" customFormat="1" ht="13.8"/>
    <row r="2613" s="21" customFormat="1" ht="13.8"/>
    <row r="2614" s="21" customFormat="1" ht="13.8"/>
    <row r="2615" s="21" customFormat="1" ht="13.8"/>
    <row r="2616" s="21" customFormat="1" ht="13.8"/>
    <row r="2617" s="21" customFormat="1" ht="13.8"/>
    <row r="2618" s="21" customFormat="1" ht="13.8"/>
    <row r="2619" s="21" customFormat="1" ht="13.8"/>
    <row r="2620" s="21" customFormat="1" ht="13.8"/>
    <row r="2621" s="21" customFormat="1" ht="13.8"/>
    <row r="2622" s="21" customFormat="1" ht="13.8"/>
    <row r="2623" s="21" customFormat="1" ht="13.8"/>
    <row r="2624" s="21" customFormat="1" ht="13.8"/>
    <row r="2625" s="21" customFormat="1" ht="13.8"/>
    <row r="2626" s="21" customFormat="1" ht="13.8"/>
    <row r="2627" s="21" customFormat="1" ht="13.8"/>
    <row r="2628" s="21" customFormat="1" ht="13.8"/>
    <row r="2629" s="21" customFormat="1" ht="13.8"/>
    <row r="2630" s="21" customFormat="1" ht="13.8"/>
    <row r="2631" s="21" customFormat="1" ht="13.8"/>
    <row r="2632" s="21" customFormat="1" ht="13.8"/>
    <row r="2633" s="21" customFormat="1" ht="13.8"/>
    <row r="2634" s="21" customFormat="1" ht="13.8"/>
    <row r="2635" s="21" customFormat="1" ht="13.8"/>
    <row r="2636" s="21" customFormat="1" ht="13.8"/>
    <row r="2637" s="21" customFormat="1" ht="13.8"/>
    <row r="2638" s="21" customFormat="1" ht="13.8"/>
    <row r="2639" s="21" customFormat="1" ht="13.8"/>
    <row r="2640" s="21" customFormat="1" ht="13.8"/>
    <row r="2641" s="21" customFormat="1" ht="13.8"/>
    <row r="2642" s="21" customFormat="1" ht="13.8"/>
    <row r="2643" s="21" customFormat="1" ht="13.8"/>
    <row r="2644" s="21" customFormat="1" ht="13.8"/>
    <row r="2645" s="21" customFormat="1" ht="13.8"/>
    <row r="2646" s="21" customFormat="1" ht="13.8"/>
    <row r="2647" s="21" customFormat="1" ht="13.8"/>
    <row r="2648" s="21" customFormat="1" ht="13.8"/>
    <row r="2649" s="21" customFormat="1" ht="13.8"/>
    <row r="2650" s="21" customFormat="1" ht="13.8"/>
    <row r="2651" s="21" customFormat="1" ht="13.8"/>
    <row r="2652" s="21" customFormat="1" ht="13.8"/>
    <row r="2653" s="21" customFormat="1" ht="13.8"/>
    <row r="2654" s="21" customFormat="1" ht="13.8"/>
    <row r="2655" s="21" customFormat="1" ht="13.8"/>
    <row r="2656" s="21" customFormat="1" ht="13.8"/>
    <row r="2657" s="21" customFormat="1" ht="13.8"/>
    <row r="2658" s="21" customFormat="1" ht="13.8"/>
    <row r="2659" s="21" customFormat="1" ht="13.8"/>
    <row r="2660" s="21" customFormat="1" ht="13.8"/>
    <row r="2661" s="21" customFormat="1" ht="13.8"/>
    <row r="2662" s="21" customFormat="1" ht="13.8"/>
    <row r="2663" s="21" customFormat="1" ht="13.8"/>
    <row r="2664" s="21" customFormat="1" ht="13.8"/>
    <row r="2665" s="21" customFormat="1" ht="13.8"/>
    <row r="2666" s="21" customFormat="1" ht="13.8"/>
    <row r="2667" s="21" customFormat="1" ht="13.8"/>
    <row r="2668" s="21" customFormat="1" ht="13.8"/>
    <row r="2669" s="21" customFormat="1" ht="13.8"/>
    <row r="2670" s="21" customFormat="1" ht="13.8"/>
    <row r="2671" s="21" customFormat="1" ht="13.8"/>
    <row r="2672" s="21" customFormat="1" ht="13.8"/>
    <row r="2673" s="21" customFormat="1" ht="13.8"/>
    <row r="2674" s="21" customFormat="1" ht="13.8"/>
    <row r="2675" s="21" customFormat="1" ht="13.8"/>
    <row r="2676" s="21" customFormat="1" ht="13.8"/>
    <row r="2677" s="21" customFormat="1" ht="13.8"/>
    <row r="2678" s="21" customFormat="1" ht="13.8"/>
    <row r="2679" s="21" customFormat="1" ht="13.8"/>
    <row r="2680" s="21" customFormat="1" ht="13.8"/>
    <row r="2681" s="21" customFormat="1" ht="13.8"/>
    <row r="2682" s="21" customFormat="1" ht="13.8"/>
    <row r="2683" s="21" customFormat="1" ht="13.8"/>
    <row r="2684" s="21" customFormat="1" ht="13.8"/>
    <row r="2685" s="21" customFormat="1" ht="13.8"/>
    <row r="2686" s="21" customFormat="1" ht="13.8"/>
    <row r="2687" s="21" customFormat="1" ht="13.8"/>
    <row r="2688" s="21" customFormat="1" ht="13.8"/>
    <row r="2689" s="21" customFormat="1" ht="13.8"/>
    <row r="2690" s="21" customFormat="1" ht="13.8"/>
    <row r="2691" s="21" customFormat="1" ht="13.8"/>
    <row r="2692" s="21" customFormat="1" ht="13.8"/>
    <row r="2693" s="21" customFormat="1" ht="13.8"/>
    <row r="2694" s="21" customFormat="1" ht="13.8"/>
    <row r="2695" s="21" customFormat="1" ht="13.8"/>
    <row r="2696" s="21" customFormat="1" ht="13.8"/>
    <row r="2697" s="21" customFormat="1" ht="13.8"/>
    <row r="2698" s="21" customFormat="1" ht="13.8"/>
    <row r="2699" s="21" customFormat="1" ht="13.8"/>
    <row r="2700" s="21" customFormat="1" ht="13.8"/>
    <row r="2701" s="21" customFormat="1" ht="13.8"/>
    <row r="2702" s="21" customFormat="1" ht="13.8"/>
    <row r="2703" s="21" customFormat="1" ht="13.8"/>
    <row r="2704" s="21" customFormat="1" ht="13.8"/>
    <row r="2705" s="21" customFormat="1" ht="13.8"/>
    <row r="2706" s="21" customFormat="1" ht="13.8"/>
    <row r="2707" s="21" customFormat="1" ht="13.8"/>
    <row r="2708" s="21" customFormat="1" ht="13.8"/>
    <row r="2709" s="21" customFormat="1" ht="13.8"/>
    <row r="2710" s="21" customFormat="1" ht="13.8"/>
    <row r="2711" s="21" customFormat="1" ht="13.8"/>
    <row r="2712" s="21" customFormat="1" ht="13.8"/>
    <row r="2713" s="21" customFormat="1" ht="13.8"/>
    <row r="2714" s="21" customFormat="1" ht="13.8"/>
    <row r="2715" s="21" customFormat="1" ht="13.8"/>
    <row r="2716" s="21" customFormat="1" ht="13.8"/>
    <row r="2717" s="21" customFormat="1" ht="13.8"/>
    <row r="2718" s="21" customFormat="1" ht="13.8"/>
    <row r="2719" s="21" customFormat="1" ht="13.8"/>
    <row r="2720" s="21" customFormat="1" ht="13.8"/>
    <row r="2721" s="21" customFormat="1" ht="13.8"/>
    <row r="2722" s="21" customFormat="1" ht="13.8"/>
    <row r="2723" s="21" customFormat="1" ht="13.8"/>
    <row r="2724" s="21" customFormat="1" ht="13.8"/>
    <row r="2725" s="21" customFormat="1" ht="13.8"/>
    <row r="2726" s="21" customFormat="1" ht="13.8"/>
    <row r="2727" s="21" customFormat="1" ht="13.8"/>
    <row r="2728" s="21" customFormat="1" ht="13.8"/>
    <row r="2729" s="21" customFormat="1" ht="13.8"/>
    <row r="2730" s="21" customFormat="1" ht="13.8"/>
    <row r="2731" s="21" customFormat="1" ht="13.8"/>
    <row r="2732" s="21" customFormat="1" ht="13.8"/>
    <row r="2733" s="21" customFormat="1" ht="13.8"/>
    <row r="2734" s="21" customFormat="1" ht="13.8"/>
    <row r="2735" s="21" customFormat="1" ht="13.8"/>
    <row r="2736" s="21" customFormat="1" ht="13.8"/>
    <row r="2737" s="21" customFormat="1" ht="13.8"/>
    <row r="2738" s="21" customFormat="1" ht="13.8"/>
    <row r="2739" s="21" customFormat="1" ht="13.8"/>
    <row r="2740" s="21" customFormat="1" ht="13.8"/>
    <row r="2741" s="21" customFormat="1" ht="13.8"/>
    <row r="2742" s="21" customFormat="1" ht="13.8"/>
    <row r="2743" s="21" customFormat="1" ht="13.8"/>
    <row r="2744" s="21" customFormat="1" ht="13.8"/>
    <row r="2745" s="21" customFormat="1" ht="13.8"/>
    <row r="2746" s="21" customFormat="1" ht="13.8"/>
    <row r="2747" s="21" customFormat="1" ht="13.8"/>
    <row r="2748" s="21" customFormat="1" ht="13.8"/>
    <row r="2749" s="21" customFormat="1" ht="13.8"/>
    <row r="2750" s="21" customFormat="1" ht="13.8"/>
    <row r="2751" s="21" customFormat="1" ht="13.8"/>
    <row r="2752" s="21" customFormat="1" ht="13.8"/>
    <row r="2753" s="21" customFormat="1" ht="13.8"/>
    <row r="2754" s="21" customFormat="1" ht="13.8"/>
    <row r="2755" s="21" customFormat="1" ht="13.8"/>
    <row r="2756" s="21" customFormat="1" ht="13.8"/>
    <row r="2757" s="21" customFormat="1" ht="13.8"/>
    <row r="2758" s="21" customFormat="1" ht="13.8"/>
    <row r="2759" s="21" customFormat="1" ht="13.8"/>
    <row r="2760" s="21" customFormat="1" ht="13.8"/>
    <row r="2761" s="21" customFormat="1" ht="13.8"/>
    <row r="2762" s="21" customFormat="1" ht="13.8"/>
    <row r="2763" s="21" customFormat="1" ht="13.8"/>
    <row r="2764" s="21" customFormat="1" ht="13.8"/>
    <row r="2765" s="21" customFormat="1" ht="13.8"/>
    <row r="2766" s="21" customFormat="1" ht="13.8"/>
    <row r="2767" s="21" customFormat="1" ht="13.8"/>
    <row r="2768" s="21" customFormat="1" ht="13.8"/>
    <row r="2769" s="21" customFormat="1" ht="13.8"/>
    <row r="2770" s="21" customFormat="1" ht="13.8"/>
    <row r="2771" s="21" customFormat="1" ht="13.8"/>
    <row r="2772" s="21" customFormat="1" ht="13.8"/>
    <row r="2773" s="21" customFormat="1" ht="13.8"/>
    <row r="2774" s="21" customFormat="1" ht="13.8"/>
    <row r="2775" s="21" customFormat="1" ht="13.8"/>
    <row r="2776" s="21" customFormat="1" ht="13.8"/>
    <row r="2777" s="21" customFormat="1" ht="13.8"/>
    <row r="2778" s="21" customFormat="1" ht="13.8"/>
    <row r="2779" s="21" customFormat="1" ht="13.8"/>
    <row r="2780" s="21" customFormat="1" ht="13.8"/>
    <row r="2781" s="21" customFormat="1" ht="13.8"/>
    <row r="2782" s="21" customFormat="1" ht="13.8"/>
    <row r="2783" s="21" customFormat="1" ht="13.8"/>
    <row r="2784" s="21" customFormat="1" ht="13.8"/>
    <row r="2785" s="21" customFormat="1" ht="13.8"/>
    <row r="2786" s="21" customFormat="1" ht="13.8"/>
    <row r="2787" s="21" customFormat="1" ht="13.8"/>
    <row r="2788" s="21" customFormat="1" ht="13.8"/>
    <row r="2789" s="21" customFormat="1" ht="13.8"/>
    <row r="2790" s="21" customFormat="1" ht="13.8"/>
    <row r="2791" s="21" customFormat="1" ht="13.8"/>
    <row r="2792" s="21" customFormat="1" ht="13.8"/>
    <row r="2793" s="21" customFormat="1" ht="13.8"/>
    <row r="2794" s="21" customFormat="1" ht="13.8"/>
    <row r="2795" s="21" customFormat="1" ht="13.8"/>
    <row r="2796" s="21" customFormat="1" ht="13.8"/>
    <row r="2797" s="21" customFormat="1" ht="13.8"/>
    <row r="2798" s="21" customFormat="1" ht="13.8"/>
    <row r="2799" s="21" customFormat="1" ht="13.8"/>
    <row r="2800" s="21" customFormat="1" ht="13.8"/>
    <row r="2801" s="21" customFormat="1" ht="13.8"/>
    <row r="2802" s="21" customFormat="1" ht="13.8"/>
    <row r="2803" s="21" customFormat="1" ht="13.8"/>
    <row r="2804" s="21" customFormat="1" ht="13.8"/>
    <row r="2805" s="21" customFormat="1" ht="13.8"/>
    <row r="2806" s="21" customFormat="1" ht="13.8"/>
    <row r="2807" s="21" customFormat="1" ht="13.8"/>
    <row r="2808" s="21" customFormat="1" ht="13.8"/>
    <row r="2809" s="21" customFormat="1" ht="13.8"/>
    <row r="2810" s="21" customFormat="1" ht="13.8"/>
    <row r="2811" s="21" customFormat="1" ht="13.8"/>
    <row r="2812" s="21" customFormat="1" ht="13.8"/>
    <row r="2813" s="21" customFormat="1" ht="13.8"/>
    <row r="2814" s="21" customFormat="1" ht="13.8"/>
    <row r="2815" s="21" customFormat="1" ht="13.8"/>
    <row r="2816" s="21" customFormat="1" ht="13.8"/>
    <row r="2817" s="21" customFormat="1" ht="13.8"/>
    <row r="2818" s="21" customFormat="1" ht="13.8"/>
    <row r="2819" s="21" customFormat="1" ht="13.8"/>
    <row r="2820" s="21" customFormat="1" ht="13.8"/>
    <row r="2821" s="21" customFormat="1" ht="13.8"/>
    <row r="2822" s="21" customFormat="1" ht="13.8"/>
    <row r="2823" s="21" customFormat="1" ht="13.8"/>
    <row r="2824" s="21" customFormat="1" ht="13.8"/>
    <row r="2825" s="21" customFormat="1" ht="13.8"/>
    <row r="2826" s="21" customFormat="1" ht="13.8"/>
    <row r="2827" s="21" customFormat="1" ht="13.8"/>
    <row r="2828" s="21" customFormat="1" ht="13.8"/>
    <row r="2829" s="21" customFormat="1" ht="13.8"/>
    <row r="2830" s="21" customFormat="1" ht="13.8"/>
    <row r="2831" s="21" customFormat="1" ht="13.8"/>
    <row r="2832" s="21" customFormat="1" ht="13.8"/>
    <row r="2833" s="21" customFormat="1" ht="13.8"/>
    <row r="2834" s="21" customFormat="1" ht="13.8"/>
    <row r="2835" s="21" customFormat="1" ht="13.8"/>
    <row r="2836" s="21" customFormat="1" ht="13.8"/>
    <row r="2837" s="21" customFormat="1" ht="13.8"/>
    <row r="2838" s="21" customFormat="1" ht="13.8"/>
    <row r="2839" s="21" customFormat="1" ht="13.8"/>
    <row r="2840" s="21" customFormat="1" ht="13.8"/>
    <row r="2841" s="21" customFormat="1" ht="13.8"/>
    <row r="2842" s="21" customFormat="1" ht="13.8"/>
    <row r="2843" s="21" customFormat="1" ht="13.8"/>
    <row r="2844" s="21" customFormat="1" ht="13.8"/>
    <row r="2845" s="21" customFormat="1" ht="13.8"/>
    <row r="2846" s="21" customFormat="1" ht="13.8"/>
    <row r="2847" s="21" customFormat="1" ht="13.8"/>
    <row r="2848" s="21" customFormat="1" ht="13.8"/>
    <row r="2849" s="21" customFormat="1" ht="13.8"/>
    <row r="2850" s="21" customFormat="1" ht="13.8"/>
    <row r="2851" s="21" customFormat="1" ht="13.8"/>
    <row r="2852" s="21" customFormat="1" ht="13.8"/>
    <row r="2853" s="21" customFormat="1" ht="13.8"/>
    <row r="2854" s="21" customFormat="1" ht="13.8"/>
    <row r="2855" s="21" customFormat="1" ht="13.8"/>
    <row r="2856" s="21" customFormat="1" ht="13.8"/>
    <row r="2857" s="21" customFormat="1" ht="13.8"/>
    <row r="2858" s="21" customFormat="1" ht="13.8"/>
    <row r="2859" s="21" customFormat="1" ht="13.8"/>
    <row r="2860" s="21" customFormat="1" ht="13.8"/>
    <row r="2861" s="21" customFormat="1" ht="13.8"/>
    <row r="2862" s="21" customFormat="1" ht="13.8"/>
    <row r="2863" s="21" customFormat="1" ht="13.8"/>
    <row r="2864" s="21" customFormat="1" ht="13.8"/>
    <row r="2865" s="21" customFormat="1" ht="13.8"/>
    <row r="2866" s="21" customFormat="1" ht="13.8"/>
    <row r="2867" s="21" customFormat="1" ht="13.8"/>
    <row r="2868" s="21" customFormat="1" ht="13.8"/>
    <row r="2869" s="21" customFormat="1" ht="13.8"/>
    <row r="2870" s="21" customFormat="1" ht="13.8"/>
    <row r="2871" s="21" customFormat="1" ht="13.8"/>
    <row r="2872" s="21" customFormat="1" ht="13.8"/>
    <row r="2873" s="21" customFormat="1" ht="13.8"/>
    <row r="2874" s="21" customFormat="1" ht="13.8"/>
    <row r="2875" s="21" customFormat="1" ht="13.8"/>
    <row r="2876" s="21" customFormat="1" ht="13.8"/>
    <row r="2877" s="21" customFormat="1" ht="13.8"/>
    <row r="2878" s="21" customFormat="1" ht="13.8"/>
    <row r="2879" s="21" customFormat="1" ht="13.8"/>
    <row r="2880" s="21" customFormat="1" ht="13.8"/>
    <row r="2881" s="21" customFormat="1" ht="13.8"/>
    <row r="2882" s="21" customFormat="1" ht="13.8"/>
    <row r="2883" s="21" customFormat="1" ht="13.8"/>
    <row r="2884" s="21" customFormat="1" ht="13.8"/>
    <row r="2885" s="21" customFormat="1" ht="13.8"/>
    <row r="2886" s="21" customFormat="1" ht="13.8"/>
    <row r="2887" s="21" customFormat="1" ht="13.8"/>
    <row r="2888" s="21" customFormat="1" ht="13.8"/>
    <row r="2889" s="21" customFormat="1" ht="13.8"/>
    <row r="2890" s="21" customFormat="1" ht="13.8"/>
    <row r="2891" s="21" customFormat="1" ht="13.8"/>
    <row r="2892" s="21" customFormat="1" ht="13.8"/>
    <row r="2893" s="21" customFormat="1" ht="13.8"/>
    <row r="2894" s="21" customFormat="1" ht="13.8"/>
    <row r="2895" s="21" customFormat="1" ht="13.8"/>
    <row r="2896" s="21" customFormat="1" ht="13.8"/>
    <row r="2897" s="21" customFormat="1" ht="13.8"/>
    <row r="2898" s="21" customFormat="1" ht="13.8"/>
    <row r="2899" s="21" customFormat="1" ht="13.8"/>
    <row r="2900" s="21" customFormat="1" ht="13.8"/>
    <row r="2901" s="21" customFormat="1" ht="13.8"/>
    <row r="2902" s="21" customFormat="1" ht="13.8"/>
    <row r="2903" s="21" customFormat="1" ht="13.8"/>
    <row r="2904" s="21" customFormat="1" ht="13.8"/>
    <row r="2905" s="21" customFormat="1" ht="13.8"/>
    <row r="2906" s="21" customFormat="1" ht="13.8"/>
    <row r="2907" s="21" customFormat="1" ht="13.8"/>
    <row r="2908" s="21" customFormat="1" ht="13.8"/>
    <row r="2909" s="21" customFormat="1" ht="13.8"/>
    <row r="2910" s="21" customFormat="1" ht="13.8"/>
    <row r="2911" s="21" customFormat="1" ht="13.8"/>
    <row r="2912" s="21" customFormat="1" ht="13.8"/>
    <row r="2913" s="21" customFormat="1" ht="13.8"/>
    <row r="2914" s="21" customFormat="1" ht="13.8"/>
    <row r="2915" s="21" customFormat="1" ht="13.8"/>
    <row r="2916" s="21" customFormat="1" ht="13.8"/>
    <row r="2917" s="21" customFormat="1" ht="13.8"/>
    <row r="2918" s="21" customFormat="1" ht="13.8"/>
    <row r="2919" s="21" customFormat="1" ht="13.8"/>
    <row r="2920" s="21" customFormat="1" ht="13.8"/>
    <row r="2921" s="21" customFormat="1" ht="13.8"/>
    <row r="2922" s="21" customFormat="1" ht="13.8"/>
    <row r="2923" s="21" customFormat="1" ht="13.8"/>
    <row r="2924" s="21" customFormat="1" ht="13.8"/>
    <row r="2925" s="21" customFormat="1" ht="13.8"/>
    <row r="2926" s="21" customFormat="1" ht="13.8"/>
    <row r="2927" s="21" customFormat="1" ht="13.8"/>
    <row r="2928" s="21" customFormat="1" ht="13.8"/>
    <row r="2929" s="21" customFormat="1" ht="13.8"/>
    <row r="2930" s="21" customFormat="1" ht="13.8"/>
    <row r="2931" s="21" customFormat="1" ht="13.8"/>
    <row r="2932" s="21" customFormat="1" ht="13.8"/>
    <row r="2933" s="21" customFormat="1" ht="13.8"/>
    <row r="2934" s="21" customFormat="1" ht="13.8"/>
    <row r="2935" s="21" customFormat="1" ht="13.8"/>
    <row r="2936" s="21" customFormat="1" ht="13.8"/>
    <row r="2937" s="21" customFormat="1" ht="13.8"/>
    <row r="2938" s="21" customFormat="1" ht="13.8"/>
    <row r="2939" s="21" customFormat="1" ht="13.8"/>
    <row r="2940" s="21" customFormat="1" ht="13.8"/>
    <row r="2941" s="21" customFormat="1" ht="13.8"/>
    <row r="2942" s="21" customFormat="1" ht="13.8"/>
    <row r="2943" s="21" customFormat="1" ht="13.8"/>
    <row r="2944" s="21" customFormat="1" ht="13.8"/>
    <row r="2945" s="21" customFormat="1" ht="13.8"/>
    <row r="2946" s="21" customFormat="1" ht="13.8"/>
    <row r="2947" s="21" customFormat="1" ht="13.8"/>
    <row r="2948" s="21" customFormat="1" ht="13.8"/>
    <row r="2949" s="21" customFormat="1" ht="13.8"/>
    <row r="2950" s="21" customFormat="1" ht="13.8"/>
    <row r="2951" s="21" customFormat="1" ht="13.8"/>
    <row r="2952" s="21" customFormat="1" ht="13.8"/>
    <row r="2953" s="21" customFormat="1" ht="13.8"/>
    <row r="2954" s="21" customFormat="1" ht="13.8"/>
    <row r="2955" s="21" customFormat="1" ht="13.8"/>
    <row r="2956" s="21" customFormat="1" ht="13.8"/>
    <row r="2957" s="21" customFormat="1" ht="13.8"/>
    <row r="2958" s="21" customFormat="1" ht="13.8"/>
    <row r="2959" s="21" customFormat="1" ht="13.8"/>
    <row r="2960" s="21" customFormat="1" ht="13.8"/>
    <row r="2961" s="21" customFormat="1" ht="13.8"/>
    <row r="2962" s="21" customFormat="1" ht="13.8"/>
    <row r="2963" s="21" customFormat="1" ht="13.8"/>
    <row r="2964" s="21" customFormat="1" ht="13.8"/>
    <row r="2965" s="21" customFormat="1" ht="13.8"/>
    <row r="2966" s="21" customFormat="1" ht="13.8"/>
    <row r="2967" s="21" customFormat="1" ht="13.8"/>
    <row r="2968" s="21" customFormat="1" ht="13.8"/>
    <row r="2969" s="21" customFormat="1" ht="13.8"/>
    <row r="2970" s="21" customFormat="1" ht="13.8"/>
    <row r="2971" s="21" customFormat="1" ht="13.8"/>
    <row r="2972" s="21" customFormat="1" ht="13.8"/>
    <row r="2973" s="21" customFormat="1" ht="13.8"/>
    <row r="2974" s="21" customFormat="1" ht="13.8"/>
    <row r="2975" s="21" customFormat="1" ht="13.8"/>
    <row r="2976" s="21" customFormat="1" ht="13.8"/>
    <row r="2977" s="21" customFormat="1" ht="13.8"/>
    <row r="2978" s="21" customFormat="1" ht="13.8"/>
    <row r="2979" s="21" customFormat="1" ht="13.8"/>
    <row r="2980" s="21" customFormat="1" ht="13.8"/>
    <row r="2981" s="21" customFormat="1" ht="13.8"/>
    <row r="2982" s="21" customFormat="1" ht="13.8"/>
    <row r="2983" s="21" customFormat="1" ht="13.8"/>
    <row r="2984" s="21" customFormat="1" ht="13.8"/>
    <row r="2985" s="21" customFormat="1" ht="13.8"/>
    <row r="2986" s="21" customFormat="1" ht="13.8"/>
    <row r="2987" s="21" customFormat="1" ht="13.8"/>
    <row r="2988" s="21" customFormat="1" ht="13.8"/>
    <row r="2989" s="21" customFormat="1" ht="13.8"/>
    <row r="2990" s="21" customFormat="1" ht="13.8"/>
    <row r="2991" s="21" customFormat="1" ht="13.8"/>
    <row r="2992" s="21" customFormat="1" ht="13.8"/>
    <row r="2993" s="21" customFormat="1" ht="13.8"/>
    <row r="2994" s="21" customFormat="1" ht="13.8"/>
    <row r="2995" s="21" customFormat="1" ht="13.8"/>
    <row r="2996" s="21" customFormat="1" ht="13.8"/>
    <row r="2997" s="21" customFormat="1" ht="13.8"/>
    <row r="2998" s="21" customFormat="1" ht="13.8"/>
    <row r="2999" s="21" customFormat="1" ht="13.8"/>
    <row r="3000" s="21" customFormat="1" ht="13.8"/>
    <row r="3001" s="21" customFormat="1" ht="13.8"/>
    <row r="3002" s="21" customFormat="1" ht="13.8"/>
    <row r="3003" s="21" customFormat="1" ht="13.8"/>
    <row r="3004" s="21" customFormat="1" ht="13.8"/>
    <row r="3005" s="21" customFormat="1" ht="13.8"/>
    <row r="3006" s="21" customFormat="1" ht="13.8"/>
    <row r="3007" s="21" customFormat="1" ht="13.8"/>
    <row r="3008" s="21" customFormat="1" ht="13.8"/>
    <row r="3009" s="21" customFormat="1" ht="13.8"/>
    <row r="3010" s="21" customFormat="1" ht="13.8"/>
    <row r="3011" s="21" customFormat="1" ht="13.8"/>
    <row r="3012" s="21" customFormat="1" ht="13.8"/>
    <row r="3013" s="21" customFormat="1" ht="13.8"/>
    <row r="3014" s="21" customFormat="1" ht="13.8"/>
    <row r="3015" s="21" customFormat="1" ht="13.8"/>
    <row r="3016" s="21" customFormat="1" ht="13.8"/>
    <row r="3017" s="21" customFormat="1" ht="13.8"/>
    <row r="3018" s="21" customFormat="1" ht="13.8"/>
    <row r="3019" s="21" customFormat="1" ht="13.8"/>
    <row r="3020" s="21" customFormat="1" ht="13.8"/>
    <row r="3021" s="21" customFormat="1" ht="13.8"/>
    <row r="3022" s="21" customFormat="1" ht="13.8"/>
    <row r="3023" s="21" customFormat="1" ht="13.8"/>
    <row r="3024" s="21" customFormat="1" ht="13.8"/>
    <row r="3025" s="21" customFormat="1" ht="13.8"/>
    <row r="3026" s="21" customFormat="1" ht="13.8"/>
    <row r="3027" s="21" customFormat="1" ht="13.8"/>
    <row r="3028" s="21" customFormat="1" ht="13.8"/>
    <row r="3029" s="21" customFormat="1" ht="13.8"/>
    <row r="3030" s="21" customFormat="1" ht="13.8"/>
    <row r="3031" s="21" customFormat="1" ht="13.8"/>
    <row r="3032" s="21" customFormat="1" ht="13.8"/>
    <row r="3033" s="21" customFormat="1" ht="13.8"/>
    <row r="3034" s="21" customFormat="1" ht="13.8"/>
    <row r="3035" s="21" customFormat="1" ht="13.8"/>
    <row r="3036" s="21" customFormat="1" ht="13.8"/>
    <row r="3037" s="21" customFormat="1" ht="13.8"/>
    <row r="3038" s="21" customFormat="1" ht="13.8"/>
    <row r="3039" s="21" customFormat="1" ht="13.8"/>
    <row r="3040" s="21" customFormat="1" ht="13.8"/>
    <row r="3041" s="21" customFormat="1" ht="13.8"/>
    <row r="3042" s="21" customFormat="1" ht="13.8"/>
    <row r="3043" s="21" customFormat="1" ht="13.8"/>
    <row r="3044" s="21" customFormat="1" ht="13.8"/>
    <row r="3045" s="21" customFormat="1" ht="13.8"/>
    <row r="3046" s="21" customFormat="1" ht="13.8"/>
    <row r="3047" s="21" customFormat="1" ht="13.8"/>
    <row r="3048" s="21" customFormat="1" ht="13.8"/>
    <row r="3049" s="21" customFormat="1" ht="13.8"/>
    <row r="3050" s="21" customFormat="1" ht="13.8"/>
    <row r="3051" s="21" customFormat="1" ht="13.8"/>
    <row r="3052" s="21" customFormat="1" ht="13.8"/>
    <row r="3053" s="21" customFormat="1" ht="13.8"/>
    <row r="3054" s="21" customFormat="1" ht="13.8"/>
    <row r="3055" s="21" customFormat="1" ht="13.8"/>
    <row r="3056" s="21" customFormat="1" ht="13.8"/>
    <row r="3057" s="21" customFormat="1" ht="13.8"/>
    <row r="3058" s="21" customFormat="1" ht="13.8"/>
    <row r="3059" s="21" customFormat="1" ht="13.8"/>
    <row r="3060" s="21" customFormat="1" ht="13.8"/>
    <row r="3061" s="21" customFormat="1" ht="13.8"/>
    <row r="3062" s="21" customFormat="1" ht="13.8"/>
    <row r="3063" s="21" customFormat="1" ht="13.8"/>
    <row r="3064" s="21" customFormat="1" ht="13.8"/>
    <row r="3065" s="21" customFormat="1" ht="13.8"/>
    <row r="3066" s="21" customFormat="1" ht="13.8"/>
    <row r="3067" s="21" customFormat="1" ht="13.8"/>
    <row r="3068" s="21" customFormat="1" ht="13.8"/>
    <row r="3069" s="21" customFormat="1" ht="13.8"/>
    <row r="3070" s="21" customFormat="1" ht="13.8"/>
    <row r="3071" s="21" customFormat="1" ht="13.8"/>
    <row r="3072" s="21" customFormat="1" ht="13.8"/>
    <row r="3073" s="21" customFormat="1" ht="13.8"/>
    <row r="3074" s="21" customFormat="1" ht="13.8"/>
    <row r="3075" s="21" customFormat="1" ht="13.8"/>
    <row r="3076" s="21" customFormat="1" ht="13.8"/>
    <row r="3077" s="21" customFormat="1" ht="13.8"/>
    <row r="3078" s="21" customFormat="1" ht="13.8"/>
    <row r="3079" s="21" customFormat="1" ht="13.8"/>
    <row r="3080" s="21" customFormat="1" ht="13.8"/>
    <row r="3081" s="21" customFormat="1" ht="13.8"/>
    <row r="3082" s="21" customFormat="1" ht="13.8"/>
    <row r="3083" s="21" customFormat="1" ht="13.8"/>
    <row r="3084" s="21" customFormat="1" ht="13.8"/>
    <row r="3085" s="21" customFormat="1" ht="13.8"/>
    <row r="3086" s="21" customFormat="1" ht="13.8"/>
    <row r="3087" s="21" customFormat="1" ht="13.8"/>
    <row r="3088" s="21" customFormat="1" ht="13.8"/>
    <row r="3089" s="21" customFormat="1" ht="13.8"/>
    <row r="3090" s="21" customFormat="1" ht="13.8"/>
    <row r="3091" s="21" customFormat="1" ht="13.8"/>
    <row r="3092" s="21" customFormat="1" ht="13.8"/>
    <row r="3093" s="21" customFormat="1" ht="13.8"/>
    <row r="3094" s="21" customFormat="1" ht="13.8"/>
    <row r="3095" s="21" customFormat="1" ht="13.8"/>
    <row r="3096" s="21" customFormat="1" ht="13.8"/>
    <row r="3097" s="21" customFormat="1" ht="13.8"/>
    <row r="3098" s="21" customFormat="1" ht="13.8"/>
    <row r="3099" s="21" customFormat="1" ht="13.8"/>
    <row r="3100" s="21" customFormat="1" ht="13.8"/>
    <row r="3101" s="21" customFormat="1" ht="13.8"/>
    <row r="3102" s="21" customFormat="1" ht="13.8"/>
    <row r="3103" s="21" customFormat="1" ht="13.8"/>
    <row r="3104" s="21" customFormat="1" ht="13.8"/>
    <row r="3105" s="21" customFormat="1" ht="13.8"/>
    <row r="3106" s="21" customFormat="1" ht="13.8"/>
    <row r="3107" s="21" customFormat="1" ht="13.8"/>
    <row r="3108" s="21" customFormat="1" ht="13.8"/>
    <row r="3109" s="21" customFormat="1" ht="13.8"/>
    <row r="3110" s="21" customFormat="1" ht="13.8"/>
    <row r="3111" s="21" customFormat="1" ht="13.8"/>
    <row r="3112" s="21" customFormat="1" ht="13.8"/>
    <row r="3113" s="21" customFormat="1" ht="13.8"/>
    <row r="3114" s="21" customFormat="1" ht="13.8"/>
    <row r="3115" s="21" customFormat="1" ht="13.8"/>
    <row r="3116" s="21" customFormat="1" ht="13.8"/>
    <row r="3117" s="21" customFormat="1" ht="13.8"/>
    <row r="3118" s="21" customFormat="1" ht="13.8"/>
    <row r="3119" s="21" customFormat="1" ht="13.8"/>
    <row r="3120" s="21" customFormat="1" ht="13.8"/>
    <row r="3121" s="21" customFormat="1" ht="13.8"/>
    <row r="3122" s="21" customFormat="1" ht="13.8"/>
    <row r="3123" s="21" customFormat="1" ht="13.8"/>
    <row r="3124" s="21" customFormat="1" ht="13.8"/>
    <row r="3125" s="21" customFormat="1" ht="13.8"/>
    <row r="3126" s="21" customFormat="1" ht="13.8"/>
    <row r="3127" s="21" customFormat="1" ht="13.8"/>
    <row r="3128" s="21" customFormat="1" ht="13.8"/>
    <row r="3129" s="21" customFormat="1" ht="13.8"/>
    <row r="3130" s="21" customFormat="1" ht="13.8"/>
    <row r="3131" s="21" customFormat="1" ht="13.8"/>
    <row r="3132" s="21" customFormat="1" ht="13.8"/>
    <row r="3133" s="21" customFormat="1" ht="13.8"/>
    <row r="3134" s="21" customFormat="1" ht="13.8"/>
    <row r="3135" s="21" customFormat="1" ht="13.8"/>
    <row r="3136" s="21" customFormat="1" ht="13.8"/>
    <row r="3137" s="21" customFormat="1" ht="13.8"/>
    <row r="3138" s="21" customFormat="1" ht="13.8"/>
    <row r="3139" s="21" customFormat="1" ht="13.8"/>
    <row r="3140" s="21" customFormat="1" ht="13.8"/>
    <row r="3141" s="21" customFormat="1" ht="13.8"/>
    <row r="3142" s="21" customFormat="1" ht="13.8"/>
    <row r="3143" s="21" customFormat="1" ht="13.8"/>
    <row r="3144" s="21" customFormat="1" ht="13.8"/>
    <row r="3145" s="21" customFormat="1" ht="13.8"/>
    <row r="3146" s="21" customFormat="1" ht="13.8"/>
    <row r="3147" s="21" customFormat="1" ht="13.8"/>
    <row r="3148" s="21" customFormat="1" ht="13.8"/>
    <row r="3149" s="21" customFormat="1" ht="13.8"/>
    <row r="3150" s="21" customFormat="1" ht="13.8"/>
    <row r="3151" s="21" customFormat="1" ht="13.8"/>
    <row r="3152" s="21" customFormat="1" ht="13.8"/>
    <row r="3153" s="21" customFormat="1" ht="13.8"/>
    <row r="3154" s="21" customFormat="1" ht="13.8"/>
    <row r="3155" s="21" customFormat="1" ht="13.8"/>
    <row r="3156" s="21" customFormat="1" ht="13.8"/>
    <row r="3157" s="21" customFormat="1" ht="13.8"/>
    <row r="3158" s="21" customFormat="1" ht="13.8"/>
    <row r="3159" s="21" customFormat="1" ht="13.8"/>
    <row r="3160" s="21" customFormat="1" ht="13.8"/>
    <row r="3161" s="21" customFormat="1" ht="13.8"/>
    <row r="3162" s="21" customFormat="1" ht="13.8"/>
    <row r="3163" s="21" customFormat="1" ht="13.8"/>
    <row r="3164" s="21" customFormat="1" ht="13.8"/>
    <row r="3165" s="21" customFormat="1" ht="13.8"/>
    <row r="3166" s="21" customFormat="1" ht="13.8"/>
    <row r="3167" s="21" customFormat="1" ht="13.8"/>
    <row r="3168" s="21" customFormat="1" ht="13.8"/>
    <row r="3169" s="21" customFormat="1" ht="13.8"/>
    <row r="3170" s="21" customFormat="1" ht="13.8"/>
    <row r="3171" s="21" customFormat="1" ht="13.8"/>
    <row r="3172" s="21" customFormat="1" ht="13.8"/>
    <row r="3173" s="21" customFormat="1" ht="13.8"/>
    <row r="3174" s="21" customFormat="1" ht="13.8"/>
    <row r="3175" s="21" customFormat="1" ht="13.8"/>
    <row r="3176" s="21" customFormat="1" ht="13.8"/>
    <row r="3177" s="21" customFormat="1" ht="13.8"/>
    <row r="3178" s="21" customFormat="1" ht="13.8"/>
    <row r="3179" s="21" customFormat="1" ht="13.8"/>
    <row r="3180" s="21" customFormat="1" ht="13.8"/>
    <row r="3181" s="21" customFormat="1" ht="13.8"/>
    <row r="3182" s="21" customFormat="1" ht="13.8"/>
    <row r="3183" s="21" customFormat="1" ht="13.8"/>
    <row r="3184" s="21" customFormat="1" ht="13.8"/>
    <row r="3185" s="21" customFormat="1" ht="13.8"/>
    <row r="3186" s="21" customFormat="1" ht="13.8"/>
    <row r="3187" s="21" customFormat="1" ht="13.8"/>
    <row r="3188" s="21" customFormat="1" ht="13.8"/>
    <row r="3189" s="21" customFormat="1" ht="13.8"/>
    <row r="3190" s="21" customFormat="1" ht="13.8"/>
    <row r="3191" s="21" customFormat="1" ht="13.8"/>
    <row r="3192" s="21" customFormat="1" ht="13.8"/>
    <row r="3193" s="21" customFormat="1" ht="13.8"/>
    <row r="3194" s="21" customFormat="1" ht="13.8"/>
    <row r="3195" s="21" customFormat="1" ht="13.8"/>
    <row r="3196" s="21" customFormat="1" ht="13.8"/>
    <row r="3197" s="21" customFormat="1" ht="13.8"/>
    <row r="3198" s="21" customFormat="1" ht="13.8"/>
    <row r="3199" s="21" customFormat="1" ht="13.8"/>
    <row r="3200" s="21" customFormat="1" ht="13.8"/>
    <row r="3201" s="21" customFormat="1" ht="13.8"/>
    <row r="3202" s="21" customFormat="1" ht="13.8"/>
    <row r="3203" s="21" customFormat="1" ht="13.8"/>
    <row r="3204" s="21" customFormat="1" ht="13.8"/>
    <row r="3205" s="21" customFormat="1" ht="13.8"/>
    <row r="3206" s="21" customFormat="1" ht="13.8"/>
    <row r="3207" s="21" customFormat="1" ht="13.8"/>
    <row r="3208" s="21" customFormat="1" ht="13.8"/>
    <row r="3209" s="21" customFormat="1" ht="13.8"/>
    <row r="3210" s="21" customFormat="1" ht="13.8"/>
    <row r="3211" s="21" customFormat="1" ht="13.8"/>
    <row r="3212" s="21" customFormat="1" ht="13.8"/>
    <row r="3213" s="21" customFormat="1" ht="13.8"/>
    <row r="3214" s="21" customFormat="1" ht="13.8"/>
    <row r="3215" s="21" customFormat="1" ht="13.8"/>
    <row r="3216" s="21" customFormat="1" ht="13.8"/>
    <row r="3217" s="21" customFormat="1" ht="13.8"/>
    <row r="3218" s="21" customFormat="1" ht="13.8"/>
    <row r="3219" s="21" customFormat="1" ht="13.8"/>
    <row r="3220" s="21" customFormat="1" ht="13.8"/>
    <row r="3221" s="21" customFormat="1" ht="13.8"/>
    <row r="3222" s="21" customFormat="1" ht="13.8"/>
    <row r="3223" s="21" customFormat="1" ht="13.8"/>
    <row r="3224" s="21" customFormat="1" ht="13.8"/>
    <row r="3225" s="21" customFormat="1" ht="13.8"/>
    <row r="3226" s="21" customFormat="1" ht="13.8"/>
    <row r="3227" s="21" customFormat="1" ht="13.8"/>
    <row r="3228" s="21" customFormat="1" ht="13.8"/>
    <row r="3229" s="21" customFormat="1" ht="13.8"/>
    <row r="3230" s="21" customFormat="1" ht="13.8"/>
    <row r="3231" s="21" customFormat="1" ht="13.8"/>
    <row r="3232" s="21" customFormat="1" ht="13.8"/>
    <row r="3233" s="21" customFormat="1" ht="13.8"/>
    <row r="3234" s="21" customFormat="1" ht="13.8"/>
    <row r="3235" s="21" customFormat="1" ht="13.8"/>
    <row r="3236" s="21" customFormat="1" ht="13.8"/>
    <row r="3237" s="21" customFormat="1" ht="13.8"/>
    <row r="3238" s="21" customFormat="1" ht="13.8"/>
    <row r="3239" s="21" customFormat="1" ht="13.8"/>
    <row r="3240" s="21" customFormat="1" ht="13.8"/>
    <row r="3241" s="21" customFormat="1" ht="13.8"/>
    <row r="3242" s="21" customFormat="1" ht="13.8"/>
    <row r="3243" s="21" customFormat="1" ht="13.8"/>
    <row r="3244" s="21" customFormat="1" ht="13.8"/>
    <row r="3245" s="21" customFormat="1" ht="13.8"/>
    <row r="3246" s="21" customFormat="1" ht="13.8"/>
    <row r="3247" s="21" customFormat="1" ht="13.8"/>
    <row r="3248" s="21" customFormat="1" ht="13.8"/>
    <row r="3249" s="21" customFormat="1" ht="13.8"/>
    <row r="3250" s="21" customFormat="1" ht="13.8"/>
    <row r="3251" s="21" customFormat="1" ht="13.8"/>
    <row r="3252" s="21" customFormat="1" ht="13.8"/>
    <row r="3253" s="21" customFormat="1" ht="13.8"/>
    <row r="3254" s="21" customFormat="1" ht="13.8"/>
    <row r="3255" s="21" customFormat="1" ht="13.8"/>
    <row r="3256" s="21" customFormat="1" ht="13.8"/>
    <row r="3257" s="21" customFormat="1" ht="13.8"/>
    <row r="3258" s="21" customFormat="1" ht="13.8"/>
    <row r="3259" s="21" customFormat="1" ht="13.8"/>
    <row r="3260" s="21" customFormat="1" ht="13.8"/>
    <row r="3261" s="21" customFormat="1" ht="13.8"/>
    <row r="3262" s="21" customFormat="1" ht="13.8"/>
    <row r="3263" s="21" customFormat="1" ht="13.8"/>
    <row r="3264" s="21" customFormat="1" ht="13.8"/>
    <row r="3265" s="21" customFormat="1" ht="13.8"/>
    <row r="3266" s="21" customFormat="1" ht="13.8"/>
    <row r="3267" s="21" customFormat="1" ht="13.8"/>
    <row r="3268" s="21" customFormat="1" ht="13.8"/>
    <row r="3269" s="21" customFormat="1" ht="13.8"/>
    <row r="3270" s="21" customFormat="1" ht="13.8"/>
    <row r="3271" s="21" customFormat="1" ht="13.8"/>
    <row r="3272" s="21" customFormat="1" ht="13.8"/>
    <row r="3273" s="21" customFormat="1" ht="13.8"/>
    <row r="3274" s="21" customFormat="1" ht="13.8"/>
    <row r="3275" s="21" customFormat="1" ht="13.8"/>
    <row r="3276" s="21" customFormat="1" ht="13.8"/>
    <row r="3277" s="21" customFormat="1" ht="13.8"/>
    <row r="3278" s="21" customFormat="1" ht="13.8"/>
    <row r="3279" s="21" customFormat="1" ht="13.8"/>
    <row r="3280" s="21" customFormat="1" ht="13.8"/>
    <row r="3281" s="21" customFormat="1" ht="13.8"/>
    <row r="3282" s="21" customFormat="1" ht="13.8"/>
    <row r="3283" s="21" customFormat="1" ht="13.8"/>
    <row r="3284" s="21" customFormat="1" ht="13.8"/>
    <row r="3285" s="21" customFormat="1" ht="13.8"/>
    <row r="3286" s="21" customFormat="1" ht="13.8"/>
    <row r="3287" s="21" customFormat="1" ht="13.8"/>
    <row r="3288" s="21" customFormat="1" ht="13.8"/>
    <row r="3289" s="21" customFormat="1" ht="13.8"/>
    <row r="3290" s="21" customFormat="1" ht="13.8"/>
    <row r="3291" s="21" customFormat="1" ht="13.8"/>
    <row r="3292" s="21" customFormat="1" ht="13.8"/>
    <row r="3293" s="21" customFormat="1" ht="13.8"/>
    <row r="3294" s="21" customFormat="1" ht="13.8"/>
    <row r="3295" s="21" customFormat="1" ht="13.8"/>
    <row r="3296" s="21" customFormat="1" ht="13.8"/>
    <row r="3297" s="21" customFormat="1" ht="13.8"/>
    <row r="3298" s="21" customFormat="1" ht="13.8"/>
    <row r="3299" s="21" customFormat="1" ht="13.8"/>
    <row r="3300" s="21" customFormat="1" ht="13.8"/>
    <row r="3301" s="21" customFormat="1" ht="13.8"/>
    <row r="3302" s="21" customFormat="1" ht="13.8"/>
    <row r="3303" s="21" customFormat="1" ht="13.8"/>
    <row r="3304" s="21" customFormat="1" ht="13.8"/>
    <row r="3305" s="21" customFormat="1" ht="13.8"/>
    <row r="3306" s="21" customFormat="1" ht="13.8"/>
    <row r="3307" s="21" customFormat="1" ht="13.8"/>
    <row r="3308" s="21" customFormat="1" ht="13.8"/>
    <row r="3309" s="21" customFormat="1" ht="13.8"/>
    <row r="3310" s="21" customFormat="1" ht="13.8"/>
    <row r="3311" s="21" customFormat="1" ht="13.8"/>
    <row r="3312" s="21" customFormat="1" ht="13.8"/>
    <row r="3313" s="21" customFormat="1" ht="13.8"/>
    <row r="3314" s="21" customFormat="1" ht="13.8"/>
    <row r="3315" s="21" customFormat="1" ht="13.8"/>
    <row r="3316" s="21" customFormat="1" ht="13.8"/>
    <row r="3317" s="21" customFormat="1" ht="13.8"/>
    <row r="3318" s="21" customFormat="1" ht="13.8"/>
    <row r="3319" s="21" customFormat="1" ht="13.8"/>
    <row r="3320" s="21" customFormat="1" ht="13.8"/>
    <row r="3321" s="21" customFormat="1" ht="13.8"/>
    <row r="3322" s="21" customFormat="1" ht="13.8"/>
    <row r="3323" s="21" customFormat="1" ht="13.8"/>
    <row r="3324" s="21" customFormat="1" ht="13.8"/>
    <row r="3325" s="21" customFormat="1" ht="13.8"/>
    <row r="3326" s="21" customFormat="1" ht="13.8"/>
    <row r="3327" s="21" customFormat="1" ht="13.8"/>
    <row r="3328" s="21" customFormat="1" ht="13.8"/>
    <row r="3329" s="21" customFormat="1" ht="13.8"/>
    <row r="3330" s="21" customFormat="1" ht="13.8"/>
    <row r="3331" s="21" customFormat="1" ht="13.8"/>
    <row r="3332" s="21" customFormat="1" ht="13.8"/>
    <row r="3333" s="21" customFormat="1" ht="13.8"/>
    <row r="3334" s="21" customFormat="1" ht="13.8"/>
    <row r="3335" s="21" customFormat="1" ht="13.8"/>
    <row r="3336" s="21" customFormat="1" ht="13.8"/>
    <row r="3337" s="21" customFormat="1" ht="13.8"/>
    <row r="3338" s="21" customFormat="1" ht="13.8"/>
    <row r="3339" s="21" customFormat="1" ht="13.8"/>
    <row r="3340" s="21" customFormat="1" ht="13.8"/>
    <row r="3341" s="21" customFormat="1" ht="13.8"/>
    <row r="3342" s="21" customFormat="1" ht="13.8"/>
    <row r="3343" s="21" customFormat="1" ht="13.8"/>
    <row r="3344" s="21" customFormat="1" ht="13.8"/>
    <row r="3345" s="21" customFormat="1" ht="13.8"/>
    <row r="3346" s="21" customFormat="1" ht="13.8"/>
    <row r="3347" s="21" customFormat="1" ht="13.8"/>
    <row r="3348" s="21" customFormat="1" ht="13.8"/>
    <row r="3349" s="21" customFormat="1" ht="13.8"/>
    <row r="3350" s="21" customFormat="1" ht="13.8"/>
    <row r="3351" s="21" customFormat="1" ht="13.8"/>
    <row r="3352" s="21" customFormat="1" ht="13.8"/>
    <row r="3353" s="21" customFormat="1" ht="13.8"/>
    <row r="3354" s="21" customFormat="1" ht="13.8"/>
    <row r="3355" s="21" customFormat="1" ht="13.8"/>
    <row r="3356" s="21" customFormat="1" ht="13.8"/>
    <row r="3357" s="21" customFormat="1" ht="13.8"/>
    <row r="3358" s="21" customFormat="1" ht="13.8"/>
    <row r="3359" s="21" customFormat="1" ht="13.8"/>
    <row r="3360" s="21" customFormat="1" ht="13.8"/>
    <row r="3361" s="21" customFormat="1" ht="13.8"/>
    <row r="3362" s="21" customFormat="1" ht="13.8"/>
    <row r="3363" s="21" customFormat="1" ht="13.8"/>
    <row r="3364" s="21" customFormat="1" ht="13.8"/>
    <row r="3365" s="21" customFormat="1" ht="13.8"/>
    <row r="3366" s="21" customFormat="1" ht="13.8"/>
    <row r="3367" s="21" customFormat="1" ht="13.8"/>
    <row r="3368" s="21" customFormat="1" ht="13.8"/>
    <row r="3369" s="21" customFormat="1" ht="13.8"/>
    <row r="3370" s="21" customFormat="1" ht="13.8"/>
    <row r="3371" s="21" customFormat="1" ht="13.8"/>
    <row r="3372" s="21" customFormat="1" ht="13.8"/>
    <row r="3373" s="21" customFormat="1" ht="13.8"/>
    <row r="3374" s="21" customFormat="1" ht="13.8"/>
    <row r="3375" s="21" customFormat="1" ht="13.8"/>
    <row r="3376" s="21" customFormat="1" ht="13.8"/>
    <row r="3377" s="21" customFormat="1" ht="13.8"/>
    <row r="3378" s="21" customFormat="1" ht="13.8"/>
    <row r="3379" s="21" customFormat="1" ht="13.8"/>
    <row r="3380" s="21" customFormat="1" ht="13.8"/>
    <row r="3381" s="21" customFormat="1" ht="13.8"/>
    <row r="3382" s="21" customFormat="1" ht="13.8"/>
    <row r="3383" s="21" customFormat="1" ht="13.8"/>
    <row r="3384" s="21" customFormat="1" ht="13.8"/>
    <row r="3385" s="21" customFormat="1" ht="13.8"/>
    <row r="3386" s="21" customFormat="1" ht="13.8"/>
    <row r="3387" s="21" customFormat="1" ht="13.8"/>
    <row r="3388" s="21" customFormat="1" ht="13.8"/>
    <row r="3389" s="21" customFormat="1" ht="13.8"/>
    <row r="3390" s="21" customFormat="1" ht="13.8"/>
    <row r="3391" s="21" customFormat="1" ht="13.8"/>
    <row r="3392" s="21" customFormat="1" ht="13.8"/>
    <row r="3393" s="21" customFormat="1" ht="13.8"/>
    <row r="3394" s="21" customFormat="1" ht="13.8"/>
    <row r="3395" s="21" customFormat="1" ht="13.8"/>
    <row r="3396" s="21" customFormat="1" ht="13.8"/>
    <row r="3397" s="21" customFormat="1" ht="13.8"/>
    <row r="3398" s="21" customFormat="1" ht="13.8"/>
    <row r="3399" s="21" customFormat="1" ht="13.8"/>
    <row r="3400" s="21" customFormat="1" ht="13.8"/>
    <row r="3401" s="21" customFormat="1" ht="13.8"/>
    <row r="3402" s="21" customFormat="1" ht="13.8"/>
    <row r="3403" s="21" customFormat="1" ht="13.8"/>
    <row r="3404" s="21" customFormat="1" ht="13.8"/>
    <row r="3405" s="21" customFormat="1" ht="13.8"/>
    <row r="3406" s="21" customFormat="1" ht="13.8"/>
    <row r="3407" s="21" customFormat="1" ht="13.8"/>
    <row r="3408" s="21" customFormat="1" ht="13.8"/>
    <row r="3409" s="21" customFormat="1" ht="13.8"/>
    <row r="3410" s="21" customFormat="1" ht="13.8"/>
    <row r="3411" s="21" customFormat="1" ht="13.8"/>
    <row r="3412" s="21" customFormat="1" ht="13.8"/>
    <row r="3413" s="21" customFormat="1" ht="13.8"/>
    <row r="3414" s="21" customFormat="1" ht="13.8"/>
    <row r="3415" s="21" customFormat="1" ht="13.8"/>
    <row r="3416" s="21" customFormat="1" ht="13.8"/>
    <row r="3417" s="21" customFormat="1" ht="13.8"/>
    <row r="3418" s="21" customFormat="1" ht="13.8"/>
    <row r="3419" s="21" customFormat="1" ht="13.8"/>
    <row r="3420" s="21" customFormat="1" ht="13.8"/>
    <row r="3421" s="21" customFormat="1" ht="13.8"/>
    <row r="3422" s="21" customFormat="1" ht="13.8"/>
    <row r="3423" s="21" customFormat="1" ht="13.8"/>
    <row r="3424" s="21" customFormat="1" ht="13.8"/>
    <row r="3425" s="21" customFormat="1" ht="13.8"/>
    <row r="3426" s="21" customFormat="1" ht="13.8"/>
    <row r="3427" s="21" customFormat="1" ht="13.8"/>
    <row r="3428" s="21" customFormat="1" ht="13.8"/>
    <row r="3429" s="21" customFormat="1" ht="13.8"/>
    <row r="3430" s="21" customFormat="1" ht="13.8"/>
    <row r="3431" s="21" customFormat="1" ht="13.8"/>
    <row r="3432" s="21" customFormat="1" ht="13.8"/>
    <row r="3433" s="21" customFormat="1" ht="13.8"/>
    <row r="3434" s="21" customFormat="1" ht="13.8"/>
    <row r="3435" s="21" customFormat="1" ht="13.8"/>
    <row r="3436" s="21" customFormat="1" ht="13.8"/>
    <row r="3437" s="21" customFormat="1" ht="13.8"/>
    <row r="3438" s="21" customFormat="1" ht="13.8"/>
    <row r="3439" s="21" customFormat="1" ht="13.8"/>
    <row r="3440" s="21" customFormat="1" ht="13.8"/>
    <row r="3441" s="21" customFormat="1" ht="13.8"/>
    <row r="3442" s="21" customFormat="1" ht="13.8"/>
    <row r="3443" s="21" customFormat="1" ht="13.8"/>
    <row r="3444" s="21" customFormat="1" ht="13.8"/>
    <row r="3445" s="21" customFormat="1" ht="13.8"/>
    <row r="3446" s="21" customFormat="1" ht="13.8"/>
    <row r="3447" s="21" customFormat="1" ht="13.8"/>
    <row r="3448" s="21" customFormat="1" ht="13.8"/>
    <row r="3449" s="21" customFormat="1" ht="13.8"/>
    <row r="3450" s="21" customFormat="1" ht="13.8"/>
    <row r="3451" s="21" customFormat="1" ht="13.8"/>
    <row r="3452" s="21" customFormat="1" ht="13.8"/>
    <row r="3453" s="21" customFormat="1" ht="13.8"/>
    <row r="3454" s="21" customFormat="1" ht="13.8"/>
    <row r="3455" s="21" customFormat="1" ht="13.8"/>
    <row r="3456" s="21" customFormat="1" ht="13.8"/>
    <row r="3457" s="21" customFormat="1" ht="13.8"/>
    <row r="3458" s="21" customFormat="1" ht="13.8"/>
    <row r="3459" s="21" customFormat="1" ht="13.8"/>
    <row r="3460" s="21" customFormat="1" ht="13.8"/>
    <row r="3461" s="21" customFormat="1" ht="13.8"/>
    <row r="3462" s="21" customFormat="1" ht="13.8"/>
    <row r="3463" s="21" customFormat="1" ht="13.8"/>
    <row r="3464" s="21" customFormat="1" ht="13.8"/>
    <row r="3465" s="21" customFormat="1" ht="13.8"/>
    <row r="3466" s="21" customFormat="1" ht="13.8"/>
    <row r="3467" s="21" customFormat="1" ht="13.8"/>
    <row r="3468" s="21" customFormat="1" ht="13.8"/>
    <row r="3469" s="21" customFormat="1" ht="13.8"/>
    <row r="3470" s="21" customFormat="1" ht="13.8"/>
    <row r="3471" s="21" customFormat="1" ht="13.8"/>
    <row r="3472" s="21" customFormat="1" ht="13.8"/>
    <row r="3473" s="21" customFormat="1" ht="13.8"/>
    <row r="3474" s="21" customFormat="1" ht="13.8"/>
    <row r="3475" s="21" customFormat="1" ht="13.8"/>
    <row r="3476" s="21" customFormat="1" ht="13.8"/>
    <row r="3477" s="21" customFormat="1" ht="13.8"/>
    <row r="3478" s="21" customFormat="1" ht="13.8"/>
    <row r="3479" s="21" customFormat="1" ht="13.8"/>
    <row r="3480" s="21" customFormat="1" ht="13.8"/>
    <row r="3481" s="21" customFormat="1" ht="13.8"/>
    <row r="3482" s="21" customFormat="1" ht="13.8"/>
    <row r="3483" s="21" customFormat="1" ht="13.8"/>
    <row r="3484" s="21" customFormat="1" ht="13.8"/>
    <row r="3485" s="21" customFormat="1" ht="13.8"/>
    <row r="3486" s="21" customFormat="1" ht="13.8"/>
    <row r="3487" s="21" customFormat="1" ht="13.8"/>
    <row r="3488" s="21" customFormat="1" ht="13.8"/>
    <row r="3489" s="21" customFormat="1" ht="13.8"/>
    <row r="3490" s="21" customFormat="1" ht="13.8"/>
    <row r="3491" s="21" customFormat="1" ht="13.8"/>
    <row r="3492" s="21" customFormat="1" ht="13.8"/>
    <row r="3493" s="21" customFormat="1" ht="13.8"/>
    <row r="3494" s="21" customFormat="1" ht="13.8"/>
    <row r="3495" s="21" customFormat="1" ht="13.8"/>
    <row r="3496" s="21" customFormat="1" ht="13.8"/>
    <row r="3497" s="21" customFormat="1" ht="13.8"/>
    <row r="3498" s="21" customFormat="1" ht="13.8"/>
    <row r="3499" s="21" customFormat="1" ht="13.8"/>
    <row r="3500" s="21" customFormat="1" ht="13.8"/>
    <row r="3501" s="21" customFormat="1" ht="13.8"/>
    <row r="3502" s="21" customFormat="1" ht="13.8"/>
    <row r="3503" s="21" customFormat="1" ht="13.8"/>
    <row r="3504" s="21" customFormat="1" ht="13.8"/>
    <row r="3505" s="21" customFormat="1" ht="13.8"/>
    <row r="3506" s="21" customFormat="1" ht="13.8"/>
    <row r="3507" s="21" customFormat="1" ht="13.8"/>
    <row r="3508" s="21" customFormat="1" ht="13.8"/>
    <row r="3509" s="21" customFormat="1" ht="13.8"/>
    <row r="3510" s="21" customFormat="1" ht="13.8"/>
    <row r="3511" s="21" customFormat="1" ht="13.8"/>
    <row r="3512" s="21" customFormat="1" ht="13.8"/>
    <row r="3513" s="21" customFormat="1" ht="13.8"/>
    <row r="3514" s="21" customFormat="1" ht="13.8"/>
    <row r="3515" s="21" customFormat="1" ht="13.8"/>
    <row r="3516" s="21" customFormat="1" ht="13.8"/>
    <row r="3517" s="21" customFormat="1" ht="13.8"/>
    <row r="3518" s="21" customFormat="1" ht="13.8"/>
    <row r="3519" s="21" customFormat="1" ht="13.8"/>
    <row r="3520" s="21" customFormat="1" ht="13.8"/>
    <row r="3521" s="21" customFormat="1" ht="13.8"/>
    <row r="3522" s="21" customFormat="1" ht="13.8"/>
    <row r="3523" s="21" customFormat="1" ht="13.8"/>
    <row r="3524" s="21" customFormat="1" ht="13.8"/>
    <row r="3525" s="21" customFormat="1" ht="13.8"/>
    <row r="3526" s="21" customFormat="1" ht="13.8"/>
    <row r="3527" s="21" customFormat="1" ht="13.8"/>
    <row r="3528" s="21" customFormat="1" ht="13.8"/>
    <row r="3529" s="21" customFormat="1" ht="13.8"/>
    <row r="3530" s="21" customFormat="1" ht="13.8"/>
    <row r="3531" s="21" customFormat="1" ht="13.8"/>
    <row r="3532" s="21" customFormat="1" ht="13.8"/>
    <row r="3533" s="21" customFormat="1" ht="13.8"/>
    <row r="3534" s="21" customFormat="1" ht="13.8"/>
    <row r="3535" s="21" customFormat="1" ht="13.8"/>
    <row r="3536" s="21" customFormat="1" ht="13.8"/>
    <row r="3537" s="21" customFormat="1" ht="13.8"/>
    <row r="3538" s="21" customFormat="1" ht="13.8"/>
    <row r="3539" s="21" customFormat="1" ht="13.8"/>
    <row r="3540" s="21" customFormat="1" ht="13.8"/>
    <row r="3541" s="21" customFormat="1" ht="13.8"/>
    <row r="3542" s="21" customFormat="1" ht="13.8"/>
    <row r="3543" s="21" customFormat="1" ht="13.8"/>
    <row r="3544" s="21" customFormat="1" ht="13.8"/>
    <row r="3545" s="21" customFormat="1" ht="13.8"/>
    <row r="3546" s="21" customFormat="1" ht="13.8"/>
    <row r="3547" s="21" customFormat="1" ht="13.8"/>
    <row r="3548" s="21" customFormat="1" ht="13.8"/>
    <row r="3549" s="21" customFormat="1" ht="13.8"/>
    <row r="3550" s="21" customFormat="1" ht="13.8"/>
    <row r="3551" s="21" customFormat="1" ht="13.8"/>
    <row r="3552" s="21" customFormat="1" ht="13.8"/>
    <row r="3553" s="21" customFormat="1" ht="13.8"/>
    <row r="3554" s="21" customFormat="1" ht="13.8"/>
    <row r="3555" s="21" customFormat="1" ht="13.8"/>
    <row r="3556" s="21" customFormat="1" ht="13.8"/>
    <row r="3557" s="21" customFormat="1" ht="13.8"/>
    <row r="3558" s="21" customFormat="1" ht="13.8"/>
    <row r="3559" s="21" customFormat="1" ht="13.8"/>
    <row r="3560" s="21" customFormat="1" ht="13.8"/>
    <row r="3561" s="21" customFormat="1" ht="13.8"/>
    <row r="3562" s="21" customFormat="1" ht="13.8"/>
    <row r="3563" s="21" customFormat="1" ht="13.8"/>
    <row r="3564" s="21" customFormat="1" ht="13.8"/>
    <row r="3565" s="21" customFormat="1" ht="13.8"/>
    <row r="3566" s="21" customFormat="1" ht="13.8"/>
    <row r="3567" s="21" customFormat="1" ht="13.8"/>
    <row r="3568" s="21" customFormat="1" ht="13.8"/>
    <row r="3569" s="21" customFormat="1" ht="13.8"/>
    <row r="3570" s="21" customFormat="1" ht="13.8"/>
    <row r="3571" s="21" customFormat="1" ht="13.8"/>
    <row r="3572" s="21" customFormat="1" ht="13.8"/>
    <row r="3573" s="21" customFormat="1" ht="13.8"/>
    <row r="3574" s="21" customFormat="1" ht="13.8"/>
    <row r="3575" s="21" customFormat="1" ht="13.8"/>
    <row r="3576" s="21" customFormat="1" ht="13.8"/>
    <row r="3577" s="21" customFormat="1" ht="13.8"/>
    <row r="3578" s="21" customFormat="1" ht="13.8"/>
    <row r="3579" s="21" customFormat="1" ht="13.8"/>
    <row r="3580" s="21" customFormat="1" ht="13.8"/>
    <row r="3581" s="21" customFormat="1" ht="13.8"/>
    <row r="3582" s="21" customFormat="1" ht="13.8"/>
    <row r="3583" s="21" customFormat="1" ht="13.8"/>
    <row r="3584" s="21" customFormat="1" ht="13.8"/>
    <row r="3585" s="21" customFormat="1" ht="13.8"/>
    <row r="3586" s="21" customFormat="1" ht="13.8"/>
    <row r="3587" s="21" customFormat="1" ht="13.8"/>
    <row r="3588" s="21" customFormat="1" ht="13.8"/>
    <row r="3589" s="21" customFormat="1" ht="13.8"/>
    <row r="3590" s="21" customFormat="1" ht="13.8"/>
    <row r="3591" s="21" customFormat="1" ht="13.8"/>
    <row r="3592" s="21" customFormat="1" ht="13.8"/>
    <row r="3593" s="21" customFormat="1" ht="13.8"/>
    <row r="3594" s="21" customFormat="1" ht="13.8"/>
    <row r="3595" s="21" customFormat="1" ht="13.8"/>
    <row r="3596" s="21" customFormat="1" ht="13.8"/>
    <row r="3597" s="21" customFormat="1" ht="13.8"/>
    <row r="3598" s="21" customFormat="1" ht="13.8"/>
    <row r="3599" s="21" customFormat="1" ht="13.8"/>
    <row r="3600" s="21" customFormat="1" ht="13.8"/>
    <row r="3601" s="21" customFormat="1" ht="13.8"/>
    <row r="3602" s="21" customFormat="1" ht="13.8"/>
    <row r="3603" s="21" customFormat="1" ht="13.8"/>
    <row r="3604" s="21" customFormat="1" ht="13.8"/>
    <row r="3605" s="21" customFormat="1" ht="13.8"/>
    <row r="3606" s="21" customFormat="1" ht="13.8"/>
    <row r="3607" s="21" customFormat="1" ht="13.8"/>
    <row r="3608" s="21" customFormat="1" ht="13.8"/>
    <row r="3609" s="21" customFormat="1" ht="13.8"/>
    <row r="3610" s="21" customFormat="1" ht="13.8"/>
    <row r="3611" s="21" customFormat="1" ht="13.8"/>
    <row r="3612" s="21" customFormat="1" ht="13.8"/>
    <row r="3613" s="21" customFormat="1" ht="13.8"/>
    <row r="3614" s="21" customFormat="1" ht="13.8"/>
    <row r="3615" s="21" customFormat="1" ht="13.8"/>
    <row r="3616" s="21" customFormat="1" ht="13.8"/>
    <row r="3617" s="21" customFormat="1" ht="13.8"/>
    <row r="3618" s="21" customFormat="1" ht="13.8"/>
    <row r="3619" s="21" customFormat="1" ht="13.8"/>
    <row r="3620" s="21" customFormat="1" ht="13.8"/>
    <row r="3621" s="21" customFormat="1" ht="13.8"/>
    <row r="3622" s="21" customFormat="1" ht="13.8"/>
    <row r="3623" s="21" customFormat="1" ht="13.8"/>
    <row r="3624" s="21" customFormat="1" ht="13.8"/>
    <row r="3625" s="21" customFormat="1" ht="13.8"/>
    <row r="3626" s="21" customFormat="1" ht="13.8"/>
    <row r="3627" s="21" customFormat="1" ht="13.8"/>
    <row r="3628" s="21" customFormat="1" ht="13.8"/>
    <row r="3629" s="21" customFormat="1" ht="13.8"/>
    <row r="3630" s="21" customFormat="1" ht="13.8"/>
    <row r="3631" s="21" customFormat="1" ht="13.8"/>
    <row r="3632" s="21" customFormat="1" ht="13.8"/>
    <row r="3633" s="21" customFormat="1" ht="13.8"/>
    <row r="3634" s="21" customFormat="1" ht="13.8"/>
    <row r="3635" s="21" customFormat="1" ht="13.8"/>
    <row r="3636" s="21" customFormat="1" ht="13.8"/>
    <row r="3637" s="21" customFormat="1" ht="13.8"/>
    <row r="3638" s="21" customFormat="1" ht="13.8"/>
    <row r="3639" s="21" customFormat="1" ht="13.8"/>
    <row r="3640" s="21" customFormat="1" ht="13.8"/>
    <row r="3641" s="21" customFormat="1" ht="13.8"/>
    <row r="3642" s="21" customFormat="1" ht="13.8"/>
    <row r="3643" s="21" customFormat="1" ht="13.8"/>
    <row r="3644" s="21" customFormat="1" ht="13.8"/>
    <row r="3645" s="21" customFormat="1" ht="13.8"/>
    <row r="3646" s="21" customFormat="1" ht="13.8"/>
    <row r="3647" s="21" customFormat="1" ht="13.8"/>
    <row r="3648" s="21" customFormat="1" ht="13.8"/>
    <row r="3649" s="21" customFormat="1" ht="13.8"/>
    <row r="3650" s="21" customFormat="1" ht="13.8"/>
    <row r="3651" s="21" customFormat="1" ht="13.8"/>
    <row r="3652" s="21" customFormat="1" ht="13.8"/>
    <row r="3653" s="21" customFormat="1" ht="13.8"/>
    <row r="3654" s="21" customFormat="1" ht="13.8"/>
    <row r="3655" s="21" customFormat="1" ht="13.8"/>
    <row r="3656" s="21" customFormat="1" ht="13.8"/>
    <row r="3657" s="21" customFormat="1" ht="13.8"/>
    <row r="3658" s="21" customFormat="1" ht="13.8"/>
    <row r="3659" s="21" customFormat="1" ht="13.8"/>
    <row r="3660" s="21" customFormat="1" ht="13.8"/>
    <row r="3661" s="21" customFormat="1" ht="13.8"/>
    <row r="3662" s="21" customFormat="1" ht="13.8"/>
    <row r="3663" s="21" customFormat="1" ht="13.8"/>
    <row r="3664" s="21" customFormat="1" ht="13.8"/>
    <row r="3665" s="21" customFormat="1" ht="13.8"/>
    <row r="3666" s="21" customFormat="1" ht="13.8"/>
    <row r="3667" s="21" customFormat="1" ht="13.8"/>
    <row r="3668" s="21" customFormat="1" ht="13.8"/>
    <row r="3669" s="21" customFormat="1" ht="13.8"/>
    <row r="3670" s="21" customFormat="1" ht="13.8"/>
    <row r="3671" s="21" customFormat="1" ht="13.8"/>
    <row r="3672" s="21" customFormat="1" ht="13.8"/>
    <row r="3673" s="21" customFormat="1" ht="13.8"/>
    <row r="3674" s="21" customFormat="1" ht="13.8"/>
    <row r="3675" s="21" customFormat="1" ht="13.8"/>
    <row r="3676" s="21" customFormat="1" ht="13.8"/>
    <row r="3677" s="21" customFormat="1" ht="13.8"/>
    <row r="3678" s="21" customFormat="1" ht="13.8"/>
    <row r="3679" s="21" customFormat="1" ht="13.8"/>
    <row r="3680" s="21" customFormat="1" ht="13.8"/>
    <row r="3681" s="21" customFormat="1" ht="13.8"/>
    <row r="3682" s="21" customFormat="1" ht="13.8"/>
    <row r="3683" s="21" customFormat="1" ht="13.8"/>
    <row r="3684" s="21" customFormat="1" ht="13.8"/>
    <row r="3685" s="21" customFormat="1" ht="13.8"/>
    <row r="3686" s="21" customFormat="1" ht="13.8"/>
    <row r="3687" s="21" customFormat="1" ht="13.8"/>
    <row r="3688" s="21" customFormat="1" ht="13.8"/>
    <row r="3689" s="21" customFormat="1" ht="13.8"/>
    <row r="3690" s="21" customFormat="1" ht="13.8"/>
    <row r="3691" s="21" customFormat="1" ht="13.8"/>
    <row r="3692" s="21" customFormat="1" ht="13.8"/>
    <row r="3693" s="21" customFormat="1" ht="13.8"/>
    <row r="3694" s="21" customFormat="1" ht="13.8"/>
    <row r="3695" s="21" customFormat="1" ht="13.8"/>
    <row r="3696" s="21" customFormat="1" ht="13.8"/>
    <row r="3697" s="21" customFormat="1" ht="13.8"/>
    <row r="3698" s="21" customFormat="1" ht="13.8"/>
    <row r="3699" s="21" customFormat="1" ht="13.8"/>
    <row r="3700" s="21" customFormat="1" ht="13.8"/>
    <row r="3701" s="21" customFormat="1" ht="13.8"/>
    <row r="3702" s="21" customFormat="1" ht="13.8"/>
    <row r="3703" s="21" customFormat="1" ht="13.8"/>
    <row r="3704" s="21" customFormat="1" ht="13.8"/>
    <row r="3705" s="21" customFormat="1" ht="13.8"/>
    <row r="3706" s="21" customFormat="1" ht="13.8"/>
    <row r="3707" s="21" customFormat="1" ht="13.8"/>
    <row r="3708" s="21" customFormat="1" ht="13.8"/>
    <row r="3709" s="21" customFormat="1" ht="13.8"/>
    <row r="3710" s="21" customFormat="1" ht="13.8"/>
    <row r="3711" s="21" customFormat="1" ht="13.8"/>
    <row r="3712" s="21" customFormat="1" ht="13.8"/>
    <row r="3713" s="21" customFormat="1" ht="13.8"/>
    <row r="3714" s="21" customFormat="1" ht="13.8"/>
    <row r="3715" s="21" customFormat="1" ht="13.8"/>
    <row r="3716" s="21" customFormat="1" ht="13.8"/>
    <row r="3717" s="21" customFormat="1" ht="13.8"/>
    <row r="3718" s="21" customFormat="1" ht="13.8"/>
    <row r="3719" s="21" customFormat="1" ht="13.8"/>
    <row r="3720" s="21" customFormat="1" ht="13.8"/>
    <row r="3721" s="21" customFormat="1" ht="13.8"/>
    <row r="3722" s="21" customFormat="1" ht="13.8"/>
    <row r="3723" s="21" customFormat="1" ht="13.8"/>
    <row r="3724" s="21" customFormat="1" ht="13.8"/>
    <row r="3725" s="21" customFormat="1" ht="13.8"/>
    <row r="3726" s="21" customFormat="1" ht="13.8"/>
    <row r="3727" s="21" customFormat="1" ht="13.8"/>
    <row r="3728" s="21" customFormat="1" ht="13.8"/>
    <row r="3729" s="21" customFormat="1" ht="13.8"/>
    <row r="3730" s="21" customFormat="1" ht="13.8"/>
    <row r="3731" s="21" customFormat="1" ht="13.8"/>
    <row r="3732" s="21" customFormat="1" ht="13.8"/>
    <row r="3733" s="21" customFormat="1" ht="13.8"/>
    <row r="3734" s="21" customFormat="1" ht="13.8"/>
    <row r="3735" s="21" customFormat="1" ht="13.8"/>
    <row r="3736" s="21" customFormat="1" ht="13.8"/>
    <row r="3737" s="21" customFormat="1" ht="13.8"/>
    <row r="3738" s="21" customFormat="1" ht="13.8"/>
    <row r="3739" s="21" customFormat="1" ht="13.8"/>
    <row r="3740" s="21" customFormat="1" ht="13.8"/>
    <row r="3741" s="21" customFormat="1" ht="13.8"/>
    <row r="3742" s="21" customFormat="1" ht="13.8"/>
    <row r="3743" s="21" customFormat="1" ht="13.8"/>
    <row r="3744" s="21" customFormat="1" ht="13.8"/>
    <row r="3745" s="21" customFormat="1" ht="13.8"/>
    <row r="3746" s="21" customFormat="1" ht="13.8"/>
    <row r="3747" s="21" customFormat="1" ht="13.8"/>
    <row r="3748" s="21" customFormat="1" ht="13.8"/>
    <row r="3749" s="21" customFormat="1" ht="13.8"/>
    <row r="3750" s="21" customFormat="1" ht="13.8"/>
    <row r="3751" s="21" customFormat="1" ht="13.8"/>
    <row r="3752" s="21" customFormat="1" ht="13.8"/>
    <row r="3753" s="21" customFormat="1" ht="13.8"/>
    <row r="3754" s="21" customFormat="1" ht="13.8"/>
    <row r="3755" s="21" customFormat="1" ht="13.8"/>
    <row r="3756" s="21" customFormat="1" ht="13.8"/>
    <row r="3757" s="21" customFormat="1" ht="13.8"/>
    <row r="3758" s="21" customFormat="1" ht="13.8"/>
    <row r="3759" s="21" customFormat="1" ht="13.8"/>
    <row r="3760" s="21" customFormat="1" ht="13.8"/>
    <row r="3761" s="21" customFormat="1" ht="13.8"/>
    <row r="3762" s="21" customFormat="1" ht="13.8"/>
    <row r="3763" s="21" customFormat="1" ht="13.8"/>
    <row r="3764" s="21" customFormat="1" ht="13.8"/>
    <row r="3765" s="21" customFormat="1" ht="13.8"/>
    <row r="3766" s="21" customFormat="1" ht="13.8"/>
    <row r="3767" s="21" customFormat="1" ht="13.8"/>
    <row r="3768" s="21" customFormat="1" ht="13.8"/>
    <row r="3769" s="21" customFormat="1" ht="13.8"/>
    <row r="3770" s="21" customFormat="1" ht="13.8"/>
    <row r="3771" s="21" customFormat="1" ht="13.8"/>
    <row r="3772" s="21" customFormat="1" ht="13.8"/>
    <row r="3773" s="21" customFormat="1" ht="13.8"/>
    <row r="3774" s="21" customFormat="1" ht="13.8"/>
    <row r="3775" s="21" customFormat="1" ht="13.8"/>
    <row r="3776" s="21" customFormat="1" ht="13.8"/>
    <row r="3777" s="21" customFormat="1" ht="13.8"/>
    <row r="3778" s="21" customFormat="1" ht="13.8"/>
    <row r="3779" s="21" customFormat="1" ht="13.8"/>
    <row r="3780" s="21" customFormat="1" ht="13.8"/>
    <row r="3781" s="21" customFormat="1" ht="13.8"/>
    <row r="3782" s="21" customFormat="1" ht="13.8"/>
    <row r="3783" s="21" customFormat="1" ht="13.8"/>
    <row r="3784" s="21" customFormat="1" ht="13.8"/>
    <row r="3785" s="21" customFormat="1" ht="13.8"/>
    <row r="3786" s="21" customFormat="1" ht="13.8"/>
    <row r="3787" s="21" customFormat="1" ht="13.8"/>
    <row r="3788" s="21" customFormat="1" ht="13.8"/>
    <row r="3789" s="21" customFormat="1" ht="13.8"/>
    <row r="3790" s="21" customFormat="1" ht="13.8"/>
    <row r="3791" s="21" customFormat="1" ht="13.8"/>
    <row r="3792" s="21" customFormat="1" ht="13.8"/>
    <row r="3793" s="21" customFormat="1" ht="13.8"/>
    <row r="3794" s="21" customFormat="1" ht="13.8"/>
    <row r="3795" s="21" customFormat="1" ht="13.8"/>
    <row r="3796" s="21" customFormat="1" ht="13.8"/>
    <row r="3797" s="21" customFormat="1" ht="13.8"/>
    <row r="3798" s="21" customFormat="1" ht="13.8"/>
    <row r="3799" s="21" customFormat="1" ht="13.8"/>
    <row r="3800" s="21" customFormat="1" ht="13.8"/>
    <row r="3801" s="21" customFormat="1" ht="13.8"/>
    <row r="3802" s="21" customFormat="1" ht="13.8"/>
    <row r="3803" s="21" customFormat="1" ht="13.8"/>
    <row r="3804" s="21" customFormat="1" ht="13.8"/>
    <row r="3805" s="21" customFormat="1" ht="13.8"/>
    <row r="3806" s="21" customFormat="1" ht="13.8"/>
    <row r="3807" s="21" customFormat="1" ht="13.8"/>
    <row r="3808" s="21" customFormat="1" ht="13.8"/>
    <row r="3809" s="21" customFormat="1" ht="13.8"/>
    <row r="3810" s="21" customFormat="1" ht="13.8"/>
    <row r="3811" s="21" customFormat="1" ht="13.8"/>
    <row r="3812" s="21" customFormat="1" ht="13.8"/>
    <row r="3813" s="21" customFormat="1" ht="13.8"/>
    <row r="3814" s="21" customFormat="1" ht="13.8"/>
    <row r="3815" s="21" customFormat="1" ht="13.8"/>
    <row r="3816" s="21" customFormat="1" ht="13.8"/>
    <row r="3817" s="21" customFormat="1" ht="13.8"/>
    <row r="3818" s="21" customFormat="1" ht="13.8"/>
    <row r="3819" s="21" customFormat="1" ht="13.8"/>
    <row r="3820" s="21" customFormat="1" ht="13.8"/>
    <row r="3821" s="21" customFormat="1" ht="13.8"/>
    <row r="3822" s="21" customFormat="1" ht="13.8"/>
    <row r="3823" s="21" customFormat="1" ht="13.8"/>
    <row r="3824" s="21" customFormat="1" ht="13.8"/>
    <row r="3825" s="21" customFormat="1" ht="13.8"/>
    <row r="3826" s="21" customFormat="1" ht="13.8"/>
    <row r="3827" s="21" customFormat="1" ht="13.8"/>
    <row r="3828" s="21" customFormat="1" ht="13.8"/>
    <row r="3829" s="21" customFormat="1" ht="13.8"/>
    <row r="3830" s="21" customFormat="1" ht="13.8"/>
    <row r="3831" s="21" customFormat="1" ht="13.8"/>
    <row r="3832" s="21" customFormat="1" ht="13.8"/>
    <row r="3833" s="21" customFormat="1" ht="13.8"/>
    <row r="3834" s="21" customFormat="1" ht="13.8"/>
    <row r="3835" s="21" customFormat="1" ht="13.8"/>
    <row r="3836" s="21" customFormat="1" ht="13.8"/>
    <row r="3837" s="21" customFormat="1" ht="13.8"/>
    <row r="3838" s="21" customFormat="1" ht="13.8"/>
    <row r="3839" s="21" customFormat="1" ht="13.8"/>
    <row r="3840" s="21" customFormat="1" ht="13.8"/>
    <row r="3841" s="21" customFormat="1" ht="13.8"/>
    <row r="3842" s="21" customFormat="1" ht="13.8"/>
    <row r="3843" s="21" customFormat="1" ht="13.8"/>
    <row r="3844" s="21" customFormat="1" ht="13.8"/>
    <row r="3845" s="21" customFormat="1" ht="13.8"/>
    <row r="3846" s="21" customFormat="1" ht="13.8"/>
    <row r="3847" s="21" customFormat="1" ht="13.8"/>
    <row r="3848" s="21" customFormat="1" ht="13.8"/>
    <row r="3849" s="21" customFormat="1" ht="13.8"/>
    <row r="3850" s="21" customFormat="1" ht="13.8"/>
    <row r="3851" s="21" customFormat="1" ht="13.8"/>
    <row r="3852" s="21" customFormat="1" ht="13.8"/>
    <row r="3853" s="21" customFormat="1" ht="13.8"/>
    <row r="3854" s="21" customFormat="1" ht="13.8"/>
    <row r="3855" s="21" customFormat="1" ht="13.8"/>
    <row r="3856" s="21" customFormat="1" ht="13.8"/>
    <row r="3857" s="21" customFormat="1" ht="13.8"/>
    <row r="3858" s="21" customFormat="1" ht="13.8"/>
    <row r="3859" s="21" customFormat="1" ht="13.8"/>
    <row r="3860" s="21" customFormat="1" ht="13.8"/>
    <row r="3861" s="21" customFormat="1" ht="13.8"/>
    <row r="3862" s="21" customFormat="1" ht="13.8"/>
    <row r="3863" s="21" customFormat="1" ht="13.8"/>
    <row r="3864" s="21" customFormat="1" ht="13.8"/>
    <row r="3865" s="21" customFormat="1" ht="13.8"/>
    <row r="3866" s="21" customFormat="1" ht="13.8"/>
    <row r="3867" s="21" customFormat="1" ht="13.8"/>
    <row r="3868" s="21" customFormat="1" ht="13.8"/>
    <row r="3869" s="21" customFormat="1" ht="13.8"/>
    <row r="3870" s="21" customFormat="1" ht="13.8"/>
    <row r="3871" s="21" customFormat="1" ht="13.8"/>
    <row r="3872" s="21" customFormat="1" ht="13.8"/>
    <row r="3873" s="21" customFormat="1" ht="13.8"/>
    <row r="3874" s="21" customFormat="1" ht="13.8"/>
    <row r="3875" s="21" customFormat="1" ht="13.8"/>
    <row r="3876" s="21" customFormat="1" ht="13.8"/>
    <row r="3877" s="21" customFormat="1" ht="13.8"/>
    <row r="3878" s="21" customFormat="1" ht="13.8"/>
    <row r="3879" s="21" customFormat="1" ht="13.8"/>
    <row r="3880" s="21" customFormat="1" ht="13.8"/>
    <row r="3881" s="21" customFormat="1" ht="13.8"/>
    <row r="3882" s="21" customFormat="1" ht="13.8"/>
    <row r="3883" s="21" customFormat="1" ht="13.8"/>
    <row r="3884" s="21" customFormat="1" ht="13.8"/>
    <row r="3885" s="21" customFormat="1" ht="13.8"/>
    <row r="3886" s="21" customFormat="1" ht="13.8"/>
    <row r="3887" s="21" customFormat="1" ht="13.8"/>
    <row r="3888" s="21" customFormat="1" ht="13.8"/>
    <row r="3889" s="21" customFormat="1" ht="13.8"/>
    <row r="3890" s="21" customFormat="1" ht="13.8"/>
    <row r="3891" s="21" customFormat="1" ht="13.8"/>
    <row r="3892" s="21" customFormat="1" ht="13.8"/>
    <row r="3893" s="21" customFormat="1" ht="13.8"/>
    <row r="3894" s="21" customFormat="1" ht="13.8"/>
    <row r="3895" s="21" customFormat="1" ht="13.8"/>
    <row r="3896" s="21" customFormat="1" ht="13.8"/>
    <row r="3897" s="21" customFormat="1" ht="13.8"/>
    <row r="3898" s="21" customFormat="1" ht="13.8"/>
    <row r="3899" s="21" customFormat="1" ht="13.8"/>
    <row r="3900" s="21" customFormat="1" ht="13.8"/>
    <row r="3901" s="21" customFormat="1" ht="13.8"/>
    <row r="3902" s="21" customFormat="1" ht="13.8"/>
    <row r="3903" s="21" customFormat="1" ht="13.8"/>
    <row r="3904" s="21" customFormat="1" ht="13.8"/>
    <row r="3905" s="21" customFormat="1" ht="13.8"/>
    <row r="3906" s="21" customFormat="1" ht="13.8"/>
    <row r="3907" s="21" customFormat="1" ht="13.8"/>
    <row r="3908" s="21" customFormat="1" ht="13.8"/>
    <row r="3909" s="21" customFormat="1" ht="13.8"/>
    <row r="3910" s="21" customFormat="1" ht="13.8"/>
    <row r="3911" s="21" customFormat="1" ht="13.8"/>
    <row r="3912" s="21" customFormat="1" ht="13.8"/>
    <row r="3913" s="21" customFormat="1" ht="13.8"/>
    <row r="3914" s="21" customFormat="1" ht="13.8"/>
    <row r="3915" s="21" customFormat="1" ht="13.8"/>
    <row r="3916" s="21" customFormat="1" ht="13.8"/>
    <row r="3917" s="21" customFormat="1" ht="13.8"/>
    <row r="3918" s="21" customFormat="1" ht="13.8"/>
    <row r="3919" s="21" customFormat="1" ht="13.8"/>
    <row r="3920" s="21" customFormat="1" ht="13.8"/>
    <row r="3921" s="21" customFormat="1" ht="13.8"/>
    <row r="3922" s="21" customFormat="1" ht="13.8"/>
    <row r="3923" s="21" customFormat="1" ht="13.8"/>
    <row r="3924" s="21" customFormat="1" ht="13.8"/>
    <row r="3925" s="21" customFormat="1" ht="13.8"/>
    <row r="3926" s="21" customFormat="1" ht="13.8"/>
    <row r="3927" s="21" customFormat="1" ht="13.8"/>
    <row r="3928" s="21" customFormat="1" ht="13.8"/>
    <row r="3929" s="21" customFormat="1" ht="13.8"/>
    <row r="3930" s="21" customFormat="1" ht="13.8"/>
    <row r="3931" s="21" customFormat="1" ht="13.8"/>
    <row r="3932" s="21" customFormat="1" ht="13.8"/>
    <row r="3933" s="21" customFormat="1" ht="13.8"/>
    <row r="3934" s="21" customFormat="1" ht="13.8"/>
    <row r="3935" s="21" customFormat="1" ht="13.8"/>
    <row r="3936" s="21" customFormat="1" ht="13.8"/>
    <row r="3937" s="21" customFormat="1" ht="13.8"/>
    <row r="3938" s="21" customFormat="1" ht="13.8"/>
    <row r="3939" s="21" customFormat="1" ht="13.8"/>
    <row r="3940" s="21" customFormat="1" ht="13.8"/>
    <row r="3941" s="21" customFormat="1" ht="13.8"/>
    <row r="3942" s="21" customFormat="1" ht="13.8"/>
    <row r="3943" s="21" customFormat="1" ht="13.8"/>
    <row r="3944" s="21" customFormat="1" ht="13.8"/>
    <row r="3945" s="21" customFormat="1" ht="13.8"/>
    <row r="3946" s="21" customFormat="1" ht="13.8"/>
    <row r="3947" s="21" customFormat="1" ht="13.8"/>
    <row r="3948" s="21" customFormat="1" ht="13.8"/>
    <row r="3949" s="21" customFormat="1" ht="13.8"/>
    <row r="3950" s="21" customFormat="1" ht="13.8"/>
    <row r="3951" s="21" customFormat="1" ht="13.8"/>
    <row r="3952" s="21" customFormat="1" ht="13.8"/>
    <row r="3953" s="21" customFormat="1" ht="13.8"/>
    <row r="3954" s="21" customFormat="1" ht="13.8"/>
    <row r="3955" s="21" customFormat="1" ht="13.8"/>
    <row r="3956" s="21" customFormat="1" ht="13.8"/>
    <row r="3957" s="21" customFormat="1" ht="13.8"/>
    <row r="3958" s="21" customFormat="1" ht="13.8"/>
    <row r="3959" s="21" customFormat="1" ht="13.8"/>
    <row r="3960" s="21" customFormat="1" ht="13.8"/>
    <row r="3961" s="21" customFormat="1" ht="13.8"/>
    <row r="3962" s="21" customFormat="1" ht="13.8"/>
    <row r="3963" s="21" customFormat="1" ht="13.8"/>
    <row r="3964" s="21" customFormat="1" ht="13.8"/>
    <row r="3965" s="21" customFormat="1" ht="13.8"/>
    <row r="3966" s="21" customFormat="1" ht="13.8"/>
    <row r="3967" s="21" customFormat="1" ht="13.8"/>
    <row r="3968" s="21" customFormat="1" ht="13.8"/>
    <row r="3969" s="21" customFormat="1" ht="13.8"/>
    <row r="3970" s="21" customFormat="1" ht="13.8"/>
    <row r="3971" s="21" customFormat="1" ht="13.8"/>
    <row r="3972" s="21" customFormat="1" ht="13.8"/>
    <row r="3973" s="21" customFormat="1" ht="13.8"/>
    <row r="3974" s="21" customFormat="1" ht="13.8"/>
    <row r="3975" s="21" customFormat="1" ht="13.8"/>
    <row r="3976" s="21" customFormat="1" ht="13.8"/>
    <row r="3977" s="21" customFormat="1" ht="13.8"/>
    <row r="3978" s="21" customFormat="1" ht="13.8"/>
    <row r="3979" s="21" customFormat="1" ht="13.8"/>
    <row r="3980" s="21" customFormat="1" ht="13.8"/>
    <row r="3981" s="21" customFormat="1" ht="13.8"/>
    <row r="3982" s="21" customFormat="1" ht="13.8"/>
    <row r="3983" s="21" customFormat="1" ht="13.8"/>
    <row r="3984" s="21" customFormat="1" ht="13.8"/>
    <row r="3985" s="21" customFormat="1" ht="13.8"/>
    <row r="3986" s="21" customFormat="1" ht="13.8"/>
    <row r="3987" s="21" customFormat="1" ht="13.8"/>
    <row r="3988" s="21" customFormat="1" ht="13.8"/>
    <row r="3989" s="21" customFormat="1" ht="13.8"/>
    <row r="3990" s="21" customFormat="1" ht="13.8"/>
    <row r="3991" s="21" customFormat="1" ht="13.8"/>
    <row r="3992" s="21" customFormat="1" ht="13.8"/>
    <row r="3993" s="21" customFormat="1" ht="13.8"/>
    <row r="3994" s="21" customFormat="1" ht="13.8"/>
    <row r="3995" s="21" customFormat="1" ht="13.8"/>
    <row r="3996" s="21" customFormat="1" ht="13.8"/>
    <row r="3997" s="21" customFormat="1" ht="13.8"/>
    <row r="3998" s="21" customFormat="1" ht="13.8"/>
    <row r="3999" s="21" customFormat="1" ht="13.8"/>
    <row r="4000" s="21" customFormat="1" ht="13.8"/>
    <row r="4001" s="21" customFormat="1" ht="13.8"/>
    <row r="4002" s="21" customFormat="1" ht="13.8"/>
    <row r="4003" s="21" customFormat="1" ht="13.8"/>
    <row r="4004" s="21" customFormat="1" ht="13.8"/>
    <row r="4005" s="21" customFormat="1" ht="13.8"/>
    <row r="4006" s="21" customFormat="1" ht="13.8"/>
    <row r="4007" s="21" customFormat="1" ht="13.8"/>
    <row r="4008" s="21" customFormat="1" ht="13.8"/>
    <row r="4009" s="21" customFormat="1" ht="13.8"/>
    <row r="4010" s="21" customFormat="1" ht="13.8"/>
    <row r="4011" s="21" customFormat="1" ht="13.8"/>
    <row r="4012" s="21" customFormat="1" ht="13.8"/>
    <row r="4013" s="21" customFormat="1" ht="13.8"/>
    <row r="4014" s="21" customFormat="1" ht="13.8"/>
    <row r="4015" s="21" customFormat="1" ht="13.8"/>
    <row r="4016" s="21" customFormat="1" ht="13.8"/>
    <row r="4017" s="21" customFormat="1" ht="13.8"/>
    <row r="4018" s="21" customFormat="1" ht="13.8"/>
    <row r="4019" s="21" customFormat="1" ht="13.8"/>
    <row r="4020" s="21" customFormat="1" ht="13.8"/>
    <row r="4021" s="21" customFormat="1" ht="13.8"/>
    <row r="4022" s="21" customFormat="1" ht="13.8"/>
    <row r="4023" s="21" customFormat="1" ht="13.8"/>
    <row r="4024" s="21" customFormat="1" ht="13.8"/>
    <row r="4025" s="21" customFormat="1" ht="13.8"/>
    <row r="4026" s="21" customFormat="1" ht="13.8"/>
    <row r="4027" s="21" customFormat="1" ht="13.8"/>
    <row r="4028" s="21" customFormat="1" ht="13.8"/>
    <row r="4029" s="21" customFormat="1" ht="13.8"/>
    <row r="4030" s="21" customFormat="1" ht="13.8"/>
    <row r="4031" s="21" customFormat="1" ht="13.8"/>
    <row r="4032" s="21" customFormat="1" ht="13.8"/>
    <row r="4033" s="21" customFormat="1" ht="13.8"/>
    <row r="4034" s="21" customFormat="1" ht="13.8"/>
    <row r="4035" s="21" customFormat="1" ht="13.8"/>
    <row r="4036" s="21" customFormat="1" ht="13.8"/>
    <row r="4037" s="21" customFormat="1" ht="13.8"/>
    <row r="4038" s="21" customFormat="1" ht="13.8"/>
    <row r="4039" s="21" customFormat="1" ht="13.8"/>
    <row r="4040" s="21" customFormat="1" ht="13.8"/>
    <row r="4041" s="21" customFormat="1" ht="13.8"/>
    <row r="4042" s="21" customFormat="1" ht="13.8"/>
    <row r="4043" s="21" customFormat="1" ht="13.8"/>
    <row r="4044" s="21" customFormat="1" ht="13.8"/>
    <row r="4045" s="21" customFormat="1" ht="13.8"/>
    <row r="4046" s="21" customFormat="1" ht="13.8"/>
    <row r="4047" s="21" customFormat="1" ht="13.8"/>
    <row r="4048" s="21" customFormat="1" ht="13.8"/>
    <row r="4049" s="21" customFormat="1" ht="13.8"/>
    <row r="4050" s="21" customFormat="1" ht="13.8"/>
    <row r="4051" s="21" customFormat="1" ht="13.8"/>
    <row r="4052" s="21" customFormat="1" ht="13.8"/>
    <row r="4053" s="21" customFormat="1" ht="13.8"/>
    <row r="4054" s="21" customFormat="1" ht="13.8"/>
    <row r="4055" s="21" customFormat="1" ht="13.8"/>
    <row r="4056" s="21" customFormat="1" ht="13.8"/>
    <row r="4057" s="21" customFormat="1" ht="13.8"/>
    <row r="4058" s="21" customFormat="1" ht="13.8"/>
    <row r="4059" s="21" customFormat="1" ht="13.8"/>
    <row r="4060" s="21" customFormat="1" ht="13.8"/>
    <row r="4061" s="21" customFormat="1" ht="13.8"/>
    <row r="4062" s="21" customFormat="1" ht="13.8"/>
    <row r="4063" s="21" customFormat="1" ht="13.8"/>
    <row r="4064" s="21" customFormat="1" ht="13.8"/>
    <row r="4065" s="21" customFormat="1" ht="13.8"/>
    <row r="4066" s="21" customFormat="1" ht="13.8"/>
    <row r="4067" s="21" customFormat="1" ht="13.8"/>
    <row r="4068" s="21" customFormat="1" ht="13.8"/>
    <row r="4069" s="21" customFormat="1" ht="13.8"/>
    <row r="4070" s="21" customFormat="1" ht="13.8"/>
    <row r="4071" s="21" customFormat="1" ht="13.8"/>
    <row r="4072" s="21" customFormat="1" ht="13.8"/>
    <row r="4073" s="21" customFormat="1" ht="13.8"/>
    <row r="4074" s="21" customFormat="1" ht="13.8"/>
    <row r="4075" s="21" customFormat="1" ht="13.8"/>
    <row r="4076" s="21" customFormat="1" ht="13.8"/>
    <row r="4077" s="21" customFormat="1" ht="13.8"/>
    <row r="4078" s="21" customFormat="1" ht="13.8"/>
    <row r="4079" s="21" customFormat="1" ht="13.8"/>
    <row r="4080" s="21" customFormat="1" ht="13.8"/>
    <row r="4081" s="21" customFormat="1" ht="13.8"/>
    <row r="4082" s="21" customFormat="1" ht="13.8"/>
    <row r="4083" s="21" customFormat="1" ht="13.8"/>
    <row r="4084" s="21" customFormat="1" ht="13.8"/>
    <row r="4085" s="21" customFormat="1" ht="13.8"/>
    <row r="4086" s="21" customFormat="1" ht="13.8"/>
    <row r="4087" s="21" customFormat="1" ht="13.8"/>
    <row r="4088" s="21" customFormat="1" ht="13.8"/>
    <row r="4089" s="21" customFormat="1" ht="13.8"/>
    <row r="4090" s="21" customFormat="1" ht="13.8"/>
    <row r="4091" s="21" customFormat="1" ht="13.8"/>
    <row r="4092" s="21" customFormat="1" ht="13.8"/>
    <row r="4093" s="21" customFormat="1" ht="13.8"/>
    <row r="4094" s="21" customFormat="1" ht="13.8"/>
    <row r="4095" s="21" customFormat="1" ht="13.8"/>
    <row r="4096" s="21" customFormat="1" ht="13.8"/>
    <row r="4097" s="21" customFormat="1" ht="13.8"/>
    <row r="4098" s="21" customFormat="1" ht="13.8"/>
    <row r="4099" s="21" customFormat="1" ht="13.8"/>
    <row r="4100" s="21" customFormat="1" ht="13.8"/>
    <row r="4101" s="21" customFormat="1" ht="13.8"/>
    <row r="4102" s="21" customFormat="1" ht="13.8"/>
    <row r="4103" s="21" customFormat="1" ht="13.8"/>
    <row r="4104" s="21" customFormat="1" ht="13.8"/>
    <row r="4105" s="21" customFormat="1" ht="13.8"/>
    <row r="4106" s="21" customFormat="1" ht="13.8"/>
    <row r="4107" s="21" customFormat="1" ht="13.8"/>
    <row r="4108" s="21" customFormat="1" ht="13.8"/>
    <row r="4109" s="21" customFormat="1" ht="13.8"/>
    <row r="4110" s="21" customFormat="1" ht="13.8"/>
    <row r="4111" s="21" customFormat="1" ht="13.8"/>
    <row r="4112" s="21" customFormat="1" ht="13.8"/>
    <row r="4113" s="21" customFormat="1" ht="13.8"/>
    <row r="4114" s="21" customFormat="1" ht="13.8"/>
    <row r="4115" s="21" customFormat="1" ht="13.8"/>
    <row r="4116" s="21" customFormat="1" ht="13.8"/>
    <row r="4117" s="21" customFormat="1" ht="13.8"/>
    <row r="4118" s="21" customFormat="1" ht="13.8"/>
    <row r="4119" s="21" customFormat="1" ht="13.8"/>
    <row r="4120" s="21" customFormat="1" ht="13.8"/>
    <row r="4121" s="21" customFormat="1" ht="13.8"/>
    <row r="4122" s="21" customFormat="1" ht="13.8"/>
    <row r="4123" s="21" customFormat="1" ht="13.8"/>
    <row r="4124" s="21" customFormat="1" ht="13.8"/>
    <row r="4125" s="21" customFormat="1" ht="13.8"/>
    <row r="4126" s="21" customFormat="1" ht="13.8"/>
    <row r="4127" s="21" customFormat="1" ht="13.8"/>
    <row r="4128" s="21" customFormat="1" ht="13.8"/>
    <row r="4129" s="21" customFormat="1" ht="13.8"/>
    <row r="4130" s="21" customFormat="1" ht="13.8"/>
    <row r="4131" s="21" customFormat="1" ht="13.8"/>
    <row r="4132" s="21" customFormat="1" ht="13.8"/>
    <row r="4133" s="21" customFormat="1" ht="13.8"/>
    <row r="4134" s="21" customFormat="1" ht="13.8"/>
    <row r="4135" s="21" customFormat="1" ht="13.8"/>
    <row r="4136" s="21" customFormat="1" ht="13.8"/>
    <row r="4137" s="21" customFormat="1" ht="13.8"/>
    <row r="4138" s="21" customFormat="1" ht="13.8"/>
    <row r="4139" s="21" customFormat="1" ht="13.8"/>
    <row r="4140" s="21" customFormat="1" ht="13.8"/>
    <row r="4141" s="21" customFormat="1" ht="13.8"/>
    <row r="4142" s="21" customFormat="1" ht="13.8"/>
    <row r="4143" s="21" customFormat="1" ht="13.8"/>
    <row r="4144" s="21" customFormat="1" ht="13.8"/>
    <row r="4145" s="21" customFormat="1" ht="13.8"/>
    <row r="4146" s="21" customFormat="1" ht="13.8"/>
    <row r="4147" s="21" customFormat="1" ht="13.8"/>
    <row r="4148" s="21" customFormat="1" ht="13.8"/>
    <row r="4149" s="21" customFormat="1" ht="13.8"/>
    <row r="4150" s="21" customFormat="1" ht="13.8"/>
    <row r="4151" s="21" customFormat="1" ht="13.8"/>
    <row r="4152" s="21" customFormat="1" ht="13.8"/>
    <row r="4153" s="21" customFormat="1" ht="13.8"/>
    <row r="4154" s="21" customFormat="1" ht="13.8"/>
    <row r="4155" s="21" customFormat="1" ht="13.8"/>
    <row r="4156" s="21" customFormat="1" ht="13.8"/>
    <row r="4157" s="21" customFormat="1" ht="13.8"/>
    <row r="4158" s="21" customFormat="1" ht="13.8"/>
    <row r="4159" s="21" customFormat="1" ht="13.8"/>
    <row r="4160" s="21" customFormat="1" ht="13.8"/>
    <row r="4161" s="21" customFormat="1" ht="13.8"/>
    <row r="4162" s="21" customFormat="1" ht="13.8"/>
    <row r="4163" s="21" customFormat="1" ht="13.8"/>
    <row r="4164" s="21" customFormat="1" ht="13.8"/>
    <row r="4165" s="21" customFormat="1" ht="13.8"/>
    <row r="4166" s="21" customFormat="1" ht="13.8"/>
    <row r="4167" s="21" customFormat="1" ht="13.8"/>
    <row r="4168" s="21" customFormat="1" ht="13.8"/>
    <row r="4169" s="21" customFormat="1" ht="13.8"/>
    <row r="4170" s="21" customFormat="1" ht="13.8"/>
    <row r="4171" s="21" customFormat="1" ht="13.8"/>
    <row r="4172" s="21" customFormat="1" ht="13.8"/>
    <row r="4173" s="21" customFormat="1" ht="13.8"/>
    <row r="4174" s="21" customFormat="1" ht="13.8"/>
    <row r="4175" s="21" customFormat="1" ht="13.8"/>
    <row r="4176" s="21" customFormat="1" ht="13.8"/>
    <row r="4177" s="21" customFormat="1" ht="13.8"/>
    <row r="4178" s="21" customFormat="1" ht="13.8"/>
    <row r="4179" s="21" customFormat="1" ht="13.8"/>
    <row r="4180" s="21" customFormat="1" ht="13.8"/>
    <row r="4181" s="21" customFormat="1" ht="13.8"/>
    <row r="4182" s="21" customFormat="1" ht="13.8"/>
    <row r="4183" s="21" customFormat="1" ht="13.8"/>
    <row r="4184" s="21" customFormat="1" ht="13.8"/>
    <row r="4185" s="21" customFormat="1" ht="13.8"/>
    <row r="4186" s="21" customFormat="1" ht="13.8"/>
    <row r="4187" s="21" customFormat="1" ht="13.8"/>
    <row r="4188" s="21" customFormat="1" ht="13.8"/>
    <row r="4189" s="21" customFormat="1" ht="13.8"/>
    <row r="4190" s="21" customFormat="1" ht="13.8"/>
    <row r="4191" s="21" customFormat="1" ht="13.8"/>
    <row r="4192" s="21" customFormat="1" ht="13.8"/>
    <row r="4193" s="21" customFormat="1" ht="13.8"/>
    <row r="4194" s="21" customFormat="1" ht="13.8"/>
    <row r="4195" s="21" customFormat="1" ht="13.8"/>
    <row r="4196" s="21" customFormat="1" ht="13.8"/>
    <row r="4197" s="21" customFormat="1" ht="13.8"/>
    <row r="4198" s="21" customFormat="1" ht="13.8"/>
    <row r="4199" s="21" customFormat="1" ht="13.8"/>
    <row r="4200" s="21" customFormat="1" ht="13.8"/>
    <row r="4201" s="21" customFormat="1" ht="13.8"/>
    <row r="4202" s="21" customFormat="1" ht="13.8"/>
    <row r="4203" s="21" customFormat="1" ht="13.8"/>
    <row r="4204" s="21" customFormat="1" ht="13.8"/>
    <row r="4205" s="21" customFormat="1" ht="13.8"/>
    <row r="4206" s="21" customFormat="1" ht="13.8"/>
    <row r="4207" s="21" customFormat="1" ht="13.8"/>
    <row r="4208" s="21" customFormat="1" ht="13.8"/>
    <row r="4209" s="21" customFormat="1" ht="13.8"/>
    <row r="4210" s="21" customFormat="1" ht="13.8"/>
    <row r="4211" s="21" customFormat="1" ht="13.8"/>
    <row r="4212" s="21" customFormat="1" ht="13.8"/>
    <row r="4213" s="21" customFormat="1" ht="13.8"/>
    <row r="4214" s="21" customFormat="1" ht="13.8"/>
    <row r="4215" s="21" customFormat="1" ht="13.8"/>
    <row r="4216" s="21" customFormat="1" ht="13.8"/>
    <row r="4217" s="21" customFormat="1" ht="13.8"/>
    <row r="4218" s="21" customFormat="1" ht="13.8"/>
    <row r="4219" s="21" customFormat="1" ht="13.8"/>
    <row r="4220" s="21" customFormat="1" ht="13.8"/>
    <row r="4221" s="21" customFormat="1" ht="13.8"/>
    <row r="4222" s="21" customFormat="1" ht="13.8"/>
    <row r="4223" s="21" customFormat="1" ht="13.8"/>
    <row r="4224" s="21" customFormat="1" ht="13.8"/>
    <row r="4225" s="21" customFormat="1" ht="13.8"/>
    <row r="4226" s="21" customFormat="1" ht="13.8"/>
    <row r="4227" s="21" customFormat="1" ht="13.8"/>
    <row r="4228" s="21" customFormat="1" ht="13.8"/>
    <row r="4229" s="21" customFormat="1" ht="13.8"/>
    <row r="4230" s="21" customFormat="1" ht="13.8"/>
    <row r="4231" s="21" customFormat="1" ht="13.8"/>
    <row r="4232" s="21" customFormat="1" ht="13.8"/>
    <row r="4233" s="21" customFormat="1" ht="13.8"/>
    <row r="4234" s="21" customFormat="1" ht="13.8"/>
    <row r="4235" s="21" customFormat="1" ht="13.8"/>
    <row r="4236" s="21" customFormat="1" ht="13.8"/>
    <row r="4237" s="21" customFormat="1" ht="13.8"/>
    <row r="4238" s="21" customFormat="1" ht="13.8"/>
    <row r="4239" s="21" customFormat="1" ht="13.8"/>
    <row r="4240" s="21" customFormat="1" ht="13.8"/>
    <row r="4241" s="21" customFormat="1" ht="13.8"/>
    <row r="4242" s="21" customFormat="1" ht="13.8"/>
    <row r="4243" s="21" customFormat="1" ht="13.8"/>
    <row r="4244" s="21" customFormat="1" ht="13.8"/>
    <row r="4245" s="21" customFormat="1" ht="13.8"/>
    <row r="4246" s="21" customFormat="1" ht="13.8"/>
    <row r="4247" s="21" customFormat="1" ht="13.8"/>
    <row r="4248" s="21" customFormat="1" ht="13.8"/>
    <row r="4249" s="21" customFormat="1" ht="13.8"/>
    <row r="4250" s="21" customFormat="1" ht="13.8"/>
    <row r="4251" s="21" customFormat="1" ht="13.8"/>
    <row r="4252" s="21" customFormat="1" ht="13.8"/>
    <row r="4253" s="21" customFormat="1" ht="13.8"/>
    <row r="4254" s="21" customFormat="1" ht="13.8"/>
    <row r="4255" s="21" customFormat="1" ht="13.8"/>
    <row r="4256" s="21" customFormat="1" ht="13.8"/>
    <row r="4257" s="21" customFormat="1" ht="13.8"/>
    <row r="4258" s="21" customFormat="1" ht="13.8"/>
    <row r="4259" s="21" customFormat="1" ht="13.8"/>
    <row r="4260" s="21" customFormat="1" ht="13.8"/>
    <row r="4261" s="21" customFormat="1" ht="13.8"/>
    <row r="4262" s="21" customFormat="1" ht="13.8"/>
    <row r="4263" s="21" customFormat="1" ht="13.8"/>
    <row r="4264" s="21" customFormat="1" ht="13.8"/>
    <row r="4265" s="21" customFormat="1" ht="13.8"/>
    <row r="4266" s="21" customFormat="1" ht="13.8"/>
    <row r="4267" s="21" customFormat="1" ht="13.8"/>
    <row r="4268" s="21" customFormat="1" ht="13.8"/>
    <row r="4269" s="21" customFormat="1" ht="13.8"/>
    <row r="4270" s="21" customFormat="1" ht="13.8"/>
    <row r="4271" s="21" customFormat="1" ht="13.8"/>
    <row r="4272" s="21" customFormat="1" ht="13.8"/>
    <row r="4273" s="21" customFormat="1" ht="13.8"/>
    <row r="4274" s="21" customFormat="1" ht="13.8"/>
    <row r="4275" s="21" customFormat="1" ht="13.8"/>
    <row r="4276" s="21" customFormat="1" ht="13.8"/>
    <row r="4277" s="21" customFormat="1" ht="13.8"/>
    <row r="4278" s="21" customFormat="1" ht="13.8"/>
    <row r="4279" s="21" customFormat="1" ht="13.8"/>
    <row r="4280" s="21" customFormat="1" ht="13.8"/>
    <row r="4281" s="21" customFormat="1" ht="13.8"/>
    <row r="4282" s="21" customFormat="1" ht="13.8"/>
    <row r="4283" s="21" customFormat="1" ht="13.8"/>
    <row r="4284" s="21" customFormat="1" ht="13.8"/>
    <row r="4285" s="21" customFormat="1" ht="13.8"/>
    <row r="4286" s="21" customFormat="1" ht="13.8"/>
    <row r="4287" s="21" customFormat="1" ht="13.8"/>
    <row r="4288" s="21" customFormat="1" ht="13.8"/>
    <row r="4289" s="21" customFormat="1" ht="13.8"/>
    <row r="4290" s="21" customFormat="1" ht="13.8"/>
    <row r="4291" s="21" customFormat="1" ht="13.8"/>
    <row r="4292" s="21" customFormat="1" ht="13.8"/>
    <row r="4293" s="21" customFormat="1" ht="13.8"/>
    <row r="4294" s="21" customFormat="1" ht="13.8"/>
    <row r="4295" s="21" customFormat="1" ht="13.8"/>
    <row r="4296" s="21" customFormat="1" ht="13.8"/>
    <row r="4297" s="21" customFormat="1" ht="13.8"/>
    <row r="4298" s="21" customFormat="1" ht="13.8"/>
    <row r="4299" s="21" customFormat="1" ht="13.8"/>
    <row r="4300" s="21" customFormat="1" ht="13.8"/>
    <row r="4301" s="21" customFormat="1" ht="13.8"/>
    <row r="4302" s="21" customFormat="1" ht="13.8"/>
    <row r="4303" s="21" customFormat="1" ht="13.8"/>
    <row r="4304" s="21" customFormat="1" ht="13.8"/>
    <row r="4305" s="21" customFormat="1" ht="13.8"/>
    <row r="4306" s="21" customFormat="1" ht="13.8"/>
    <row r="4307" s="21" customFormat="1" ht="13.8"/>
    <row r="4308" s="21" customFormat="1" ht="13.8"/>
    <row r="4309" s="21" customFormat="1" ht="13.8"/>
    <row r="4310" s="21" customFormat="1" ht="13.8"/>
    <row r="4311" s="21" customFormat="1" ht="13.8"/>
    <row r="4312" s="21" customFormat="1" ht="13.8"/>
    <row r="4313" s="21" customFormat="1" ht="13.8"/>
    <row r="4314" s="21" customFormat="1" ht="13.8"/>
    <row r="4315" s="21" customFormat="1" ht="13.8"/>
    <row r="4316" s="21" customFormat="1" ht="13.8"/>
    <row r="4317" s="21" customFormat="1" ht="13.8"/>
    <row r="4318" s="21" customFormat="1" ht="13.8"/>
    <row r="4319" s="21" customFormat="1" ht="13.8"/>
    <row r="4320" s="21" customFormat="1" ht="13.8"/>
    <row r="4321" s="21" customFormat="1" ht="13.8"/>
    <row r="4322" s="21" customFormat="1" ht="13.8"/>
    <row r="4323" s="21" customFormat="1" ht="13.8"/>
    <row r="4324" s="21" customFormat="1" ht="13.8"/>
    <row r="4325" s="21" customFormat="1" ht="13.8"/>
    <row r="4326" s="21" customFormat="1" ht="13.8"/>
    <row r="4327" s="21" customFormat="1" ht="13.8"/>
    <row r="4328" s="21" customFormat="1" ht="13.8"/>
    <row r="4329" s="21" customFormat="1" ht="13.8"/>
    <row r="4330" s="21" customFormat="1" ht="13.8"/>
    <row r="4331" s="21" customFormat="1" ht="13.8"/>
    <row r="4332" s="21" customFormat="1" ht="13.8"/>
    <row r="4333" s="21" customFormat="1" ht="13.8"/>
    <row r="4334" s="21" customFormat="1" ht="13.8"/>
    <row r="4335" s="21" customFormat="1" ht="13.8"/>
    <row r="4336" s="21" customFormat="1" ht="13.8"/>
    <row r="4337" s="21" customFormat="1" ht="13.8"/>
    <row r="4338" s="21" customFormat="1" ht="13.8"/>
    <row r="4339" s="21" customFormat="1" ht="13.8"/>
    <row r="4340" s="21" customFormat="1" ht="13.8"/>
    <row r="4341" s="21" customFormat="1" ht="13.8"/>
    <row r="4342" s="21" customFormat="1" ht="13.8"/>
    <row r="4343" s="21" customFormat="1" ht="13.8"/>
    <row r="4344" s="21" customFormat="1" ht="13.8"/>
    <row r="4345" s="21" customFormat="1" ht="13.8"/>
    <row r="4346" s="21" customFormat="1" ht="13.8"/>
    <row r="4347" s="21" customFormat="1" ht="13.8"/>
    <row r="4348" s="21" customFormat="1" ht="13.8"/>
    <row r="4349" s="21" customFormat="1" ht="13.8"/>
    <row r="4350" s="21" customFormat="1" ht="13.8"/>
    <row r="4351" s="21" customFormat="1" ht="13.8"/>
    <row r="4352" s="21" customFormat="1" ht="13.8"/>
    <row r="4353" s="21" customFormat="1" ht="13.8"/>
    <row r="4354" s="21" customFormat="1" ht="13.8"/>
    <row r="4355" s="21" customFormat="1" ht="13.8"/>
    <row r="4356" s="21" customFormat="1" ht="13.8"/>
    <row r="4357" s="21" customFormat="1" ht="13.8"/>
    <row r="4358" s="21" customFormat="1" ht="13.8"/>
    <row r="4359" s="21" customFormat="1" ht="13.8"/>
    <row r="4360" s="21" customFormat="1" ht="13.8"/>
    <row r="4361" s="21" customFormat="1" ht="13.8"/>
    <row r="4362" s="21" customFormat="1" ht="13.8"/>
    <row r="4363" s="21" customFormat="1" ht="13.8"/>
    <row r="4364" s="21" customFormat="1" ht="13.8"/>
    <row r="4365" s="21" customFormat="1" ht="13.8"/>
    <row r="4366" s="21" customFormat="1" ht="13.8"/>
    <row r="4367" s="21" customFormat="1" ht="13.8"/>
    <row r="4368" s="21" customFormat="1" ht="13.8"/>
    <row r="4369" s="21" customFormat="1" ht="13.8"/>
    <row r="4370" s="21" customFormat="1" ht="13.8"/>
    <row r="4371" s="21" customFormat="1" ht="13.8"/>
    <row r="4372" s="21" customFormat="1" ht="13.8"/>
    <row r="4373" s="21" customFormat="1" ht="13.8"/>
    <row r="4374" s="21" customFormat="1" ht="13.8"/>
    <row r="4375" s="21" customFormat="1" ht="13.8"/>
    <row r="4376" s="21" customFormat="1" ht="13.8"/>
    <row r="4377" s="21" customFormat="1" ht="13.8"/>
    <row r="4378" s="21" customFormat="1" ht="13.8"/>
    <row r="4379" s="21" customFormat="1" ht="13.8"/>
    <row r="4380" s="21" customFormat="1" ht="13.8"/>
    <row r="4381" s="21" customFormat="1" ht="13.8"/>
    <row r="4382" s="21" customFormat="1" ht="13.8"/>
    <row r="4383" s="21" customFormat="1" ht="13.8"/>
    <row r="4384" s="21" customFormat="1" ht="13.8"/>
    <row r="4385" s="21" customFormat="1" ht="13.8"/>
    <row r="4386" s="21" customFormat="1" ht="13.8"/>
    <row r="4387" s="21" customFormat="1" ht="13.8"/>
    <row r="4388" s="21" customFormat="1" ht="13.8"/>
    <row r="4389" s="21" customFormat="1" ht="13.8"/>
    <row r="4390" s="21" customFormat="1" ht="13.8"/>
    <row r="4391" s="21" customFormat="1" ht="13.8"/>
    <row r="4392" s="21" customFormat="1" ht="13.8"/>
    <row r="4393" s="21" customFormat="1" ht="13.8"/>
    <row r="4394" s="21" customFormat="1" ht="13.8"/>
    <row r="4395" s="21" customFormat="1" ht="13.8"/>
    <row r="4396" s="21" customFormat="1" ht="13.8"/>
    <row r="4397" s="21" customFormat="1" ht="13.8"/>
    <row r="4398" s="21" customFormat="1" ht="13.8"/>
    <row r="4399" s="21" customFormat="1" ht="13.8"/>
    <row r="4400" s="21" customFormat="1" ht="13.8"/>
    <row r="4401" s="21" customFormat="1" ht="13.8"/>
    <row r="4402" s="21" customFormat="1" ht="13.8"/>
    <row r="4403" s="21" customFormat="1" ht="13.8"/>
    <row r="4404" s="21" customFormat="1" ht="13.8"/>
    <row r="4405" s="21" customFormat="1" ht="13.8"/>
    <row r="4406" s="21" customFormat="1" ht="13.8"/>
    <row r="4407" s="21" customFormat="1" ht="13.8"/>
    <row r="4408" s="21" customFormat="1" ht="13.8"/>
    <row r="4409" s="21" customFormat="1" ht="13.8"/>
    <row r="4410" s="21" customFormat="1" ht="13.8"/>
    <row r="4411" s="21" customFormat="1" ht="13.8"/>
    <row r="4412" s="21" customFormat="1" ht="13.8"/>
    <row r="4413" s="21" customFormat="1" ht="13.8"/>
    <row r="4414" s="21" customFormat="1" ht="13.8"/>
    <row r="4415" s="21" customFormat="1" ht="13.8"/>
    <row r="4416" s="21" customFormat="1" ht="13.8"/>
    <row r="4417" s="21" customFormat="1" ht="13.8"/>
    <row r="4418" s="21" customFormat="1" ht="13.8"/>
    <row r="4419" s="21" customFormat="1" ht="13.8"/>
    <row r="4420" s="21" customFormat="1" ht="13.8"/>
    <row r="4421" s="21" customFormat="1" ht="13.8"/>
    <row r="4422" s="21" customFormat="1" ht="13.8"/>
    <row r="4423" s="21" customFormat="1" ht="13.8"/>
    <row r="4424" s="21" customFormat="1" ht="13.8"/>
    <row r="4425" s="21" customFormat="1" ht="13.8"/>
    <row r="4426" s="21" customFormat="1" ht="13.8"/>
    <row r="4427" s="21" customFormat="1" ht="13.8"/>
    <row r="4428" s="21" customFormat="1" ht="13.8"/>
    <row r="4429" s="21" customFormat="1" ht="13.8"/>
    <row r="4430" s="21" customFormat="1" ht="13.8"/>
    <row r="4431" s="21" customFormat="1" ht="13.8"/>
    <row r="4432" s="21" customFormat="1" ht="13.8"/>
    <row r="4433" s="21" customFormat="1" ht="13.8"/>
    <row r="4434" s="21" customFormat="1" ht="13.8"/>
    <row r="4435" s="21" customFormat="1" ht="13.8"/>
    <row r="4436" s="21" customFormat="1" ht="13.8"/>
    <row r="4437" s="21" customFormat="1" ht="13.8"/>
    <row r="4438" s="21" customFormat="1" ht="13.8"/>
    <row r="4439" s="21" customFormat="1" ht="13.8"/>
    <row r="4440" s="21" customFormat="1" ht="13.8"/>
    <row r="4441" s="21" customFormat="1" ht="13.8"/>
    <row r="4442" s="21" customFormat="1" ht="13.8"/>
    <row r="4443" s="21" customFormat="1" ht="13.8"/>
    <row r="4444" s="21" customFormat="1" ht="13.8"/>
    <row r="4445" s="21" customFormat="1" ht="13.8"/>
    <row r="4446" s="21" customFormat="1" ht="13.8"/>
    <row r="4447" s="21" customFormat="1" ht="13.8"/>
    <row r="4448" s="21" customFormat="1" ht="13.8"/>
    <row r="4449" s="21" customFormat="1" ht="13.8"/>
    <row r="4450" s="21" customFormat="1" ht="13.8"/>
    <row r="4451" s="21" customFormat="1" ht="13.8"/>
    <row r="4452" s="21" customFormat="1" ht="13.8"/>
    <row r="4453" s="21" customFormat="1" ht="13.8"/>
    <row r="4454" s="21" customFormat="1" ht="13.8"/>
    <row r="4455" s="21" customFormat="1" ht="13.8"/>
    <row r="4456" s="21" customFormat="1" ht="13.8"/>
    <row r="4457" s="21" customFormat="1" ht="13.8"/>
    <row r="4458" s="21" customFormat="1" ht="13.8"/>
    <row r="4459" s="21" customFormat="1" ht="13.8"/>
    <row r="4460" s="21" customFormat="1" ht="13.8"/>
    <row r="4461" s="21" customFormat="1" ht="13.8"/>
    <row r="4462" s="21" customFormat="1" ht="13.8"/>
    <row r="4463" s="21" customFormat="1" ht="13.8"/>
    <row r="4464" s="21" customFormat="1" ht="13.8"/>
    <row r="4465" s="21" customFormat="1" ht="13.8"/>
    <row r="4466" s="21" customFormat="1" ht="13.8"/>
    <row r="4467" s="21" customFormat="1" ht="13.8"/>
    <row r="4468" s="21" customFormat="1" ht="13.8"/>
    <row r="4469" s="21" customFormat="1" ht="13.8"/>
    <row r="4470" s="21" customFormat="1" ht="13.8"/>
    <row r="4471" s="21" customFormat="1" ht="13.8"/>
    <row r="4472" s="21" customFormat="1" ht="13.8"/>
    <row r="4473" s="21" customFormat="1" ht="13.8"/>
    <row r="4474" s="21" customFormat="1" ht="13.8"/>
    <row r="4475" s="21" customFormat="1" ht="13.8"/>
    <row r="4476" s="21" customFormat="1" ht="13.8"/>
    <row r="4477" s="21" customFormat="1" ht="13.8"/>
    <row r="4478" s="21" customFormat="1" ht="13.8"/>
    <row r="4479" s="21" customFormat="1" ht="13.8"/>
    <row r="4480" s="21" customFormat="1" ht="13.8"/>
    <row r="4481" s="21" customFormat="1" ht="13.8"/>
    <row r="4482" s="21" customFormat="1" ht="13.8"/>
    <row r="4483" s="21" customFormat="1" ht="13.8"/>
    <row r="4484" s="21" customFormat="1" ht="13.8"/>
    <row r="4485" s="21" customFormat="1" ht="13.8"/>
    <row r="4486" s="21" customFormat="1" ht="13.8"/>
    <row r="4487" s="21" customFormat="1" ht="13.8"/>
    <row r="4488" s="21" customFormat="1" ht="13.8"/>
    <row r="4489" s="21" customFormat="1" ht="13.8"/>
    <row r="4490" s="21" customFormat="1" ht="13.8"/>
    <row r="4491" s="21" customFormat="1" ht="13.8"/>
    <row r="4492" s="21" customFormat="1" ht="13.8"/>
    <row r="4493" s="21" customFormat="1" ht="13.8"/>
    <row r="4494" s="21" customFormat="1" ht="13.8"/>
    <row r="4495" s="21" customFormat="1" ht="13.8"/>
    <row r="4496" s="21" customFormat="1" ht="13.8"/>
    <row r="4497" s="21" customFormat="1" ht="13.8"/>
    <row r="4498" s="21" customFormat="1" ht="13.8"/>
    <row r="4499" s="21" customFormat="1" ht="13.8"/>
    <row r="4500" s="21" customFormat="1" ht="13.8"/>
    <row r="4501" s="21" customFormat="1" ht="13.8"/>
    <row r="4502" s="21" customFormat="1" ht="13.8"/>
    <row r="4503" s="21" customFormat="1" ht="13.8"/>
    <row r="4504" s="21" customFormat="1" ht="13.8"/>
    <row r="4505" s="21" customFormat="1" ht="13.8"/>
    <row r="4506" s="21" customFormat="1" ht="13.8"/>
    <row r="4507" s="21" customFormat="1" ht="13.8"/>
    <row r="4508" s="21" customFormat="1" ht="13.8"/>
    <row r="4509" s="21" customFormat="1" ht="13.8"/>
    <row r="4510" s="21" customFormat="1" ht="13.8"/>
    <row r="4511" s="21" customFormat="1" ht="13.8"/>
    <row r="4512" s="21" customFormat="1" ht="13.8"/>
    <row r="4513" s="21" customFormat="1" ht="13.8"/>
    <row r="4514" s="21" customFormat="1" ht="13.8"/>
    <row r="4515" s="21" customFormat="1" ht="13.8"/>
    <row r="4516" s="21" customFormat="1" ht="13.8"/>
    <row r="4517" s="21" customFormat="1" ht="13.8"/>
    <row r="4518" s="21" customFormat="1" ht="13.8"/>
    <row r="4519" s="21" customFormat="1" ht="13.8"/>
    <row r="4520" s="21" customFormat="1" ht="13.8"/>
    <row r="4521" s="21" customFormat="1" ht="13.8"/>
    <row r="4522" s="21" customFormat="1" ht="13.8"/>
    <row r="4523" s="21" customFormat="1" ht="13.8"/>
    <row r="4524" s="21" customFormat="1" ht="13.8"/>
    <row r="4525" s="21" customFormat="1" ht="13.8"/>
    <row r="4526" s="21" customFormat="1" ht="13.8"/>
    <row r="4527" s="21" customFormat="1" ht="13.8"/>
    <row r="4528" s="21" customFormat="1" ht="13.8"/>
    <row r="4529" s="21" customFormat="1" ht="13.8"/>
    <row r="4530" s="21" customFormat="1" ht="13.8"/>
    <row r="4531" s="21" customFormat="1" ht="13.8"/>
    <row r="4532" s="21" customFormat="1" ht="13.8"/>
    <row r="4533" s="21" customFormat="1" ht="13.8"/>
    <row r="4534" s="21" customFormat="1" ht="13.8"/>
    <row r="4535" s="21" customFormat="1" ht="13.8"/>
    <row r="4536" s="21" customFormat="1" ht="13.8"/>
    <row r="4537" s="21" customFormat="1" ht="13.8"/>
    <row r="4538" s="21" customFormat="1" ht="13.8"/>
    <row r="4539" s="21" customFormat="1" ht="13.8"/>
    <row r="4540" s="21" customFormat="1" ht="13.8"/>
    <row r="4541" s="21" customFormat="1" ht="13.8"/>
    <row r="4542" s="21" customFormat="1" ht="13.8"/>
    <row r="4543" s="21" customFormat="1" ht="13.8"/>
    <row r="4544" s="21" customFormat="1" ht="13.8"/>
    <row r="4545" s="21" customFormat="1" ht="13.8"/>
    <row r="4546" s="21" customFormat="1" ht="13.8"/>
    <row r="4547" s="21" customFormat="1" ht="13.8"/>
    <row r="4548" s="21" customFormat="1" ht="13.8"/>
    <row r="4549" s="21" customFormat="1" ht="13.8"/>
    <row r="4550" s="21" customFormat="1" ht="13.8"/>
    <row r="4551" s="21" customFormat="1" ht="13.8"/>
    <row r="4552" s="21" customFormat="1" ht="13.8"/>
    <row r="4553" s="21" customFormat="1" ht="13.8"/>
    <row r="4554" s="21" customFormat="1" ht="13.8"/>
    <row r="4555" s="21" customFormat="1" ht="13.8"/>
    <row r="4556" s="21" customFormat="1" ht="13.8"/>
    <row r="4557" s="21" customFormat="1" ht="13.8"/>
    <row r="4558" s="21" customFormat="1" ht="13.8"/>
    <row r="4559" s="21" customFormat="1" ht="13.8"/>
    <row r="4560" s="21" customFormat="1" ht="13.8"/>
    <row r="4561" s="21" customFormat="1" ht="13.8"/>
    <row r="4562" s="21" customFormat="1" ht="13.8"/>
    <row r="4563" s="21" customFormat="1" ht="13.8"/>
    <row r="4564" s="21" customFormat="1" ht="13.8"/>
    <row r="4565" s="21" customFormat="1" ht="13.8"/>
    <row r="4566" s="21" customFormat="1" ht="13.8"/>
    <row r="4567" s="21" customFormat="1" ht="13.8"/>
    <row r="4568" s="21" customFormat="1" ht="13.8"/>
    <row r="4569" s="21" customFormat="1" ht="13.8"/>
    <row r="4570" s="21" customFormat="1" ht="13.8"/>
    <row r="4571" s="21" customFormat="1" ht="13.8"/>
    <row r="4572" s="21" customFormat="1" ht="13.8"/>
    <row r="4573" s="21" customFormat="1" ht="13.8"/>
    <row r="4574" s="21" customFormat="1" ht="13.8"/>
    <row r="4575" s="21" customFormat="1" ht="13.8"/>
    <row r="4576" s="21" customFormat="1" ht="13.8"/>
    <row r="4577" s="21" customFormat="1" ht="13.8"/>
    <row r="4578" s="21" customFormat="1" ht="13.8"/>
    <row r="4579" s="21" customFormat="1" ht="13.8"/>
    <row r="4580" s="21" customFormat="1" ht="13.8"/>
    <row r="4581" s="21" customFormat="1" ht="13.8"/>
    <row r="4582" s="21" customFormat="1" ht="13.8"/>
    <row r="4583" s="21" customFormat="1" ht="13.8"/>
    <row r="4584" s="21" customFormat="1" ht="13.8"/>
    <row r="4585" s="21" customFormat="1" ht="13.8"/>
    <row r="4586" s="21" customFormat="1" ht="13.8"/>
    <row r="4587" s="21" customFormat="1" ht="13.8"/>
    <row r="4588" s="21" customFormat="1" ht="13.8"/>
    <row r="4589" s="21" customFormat="1" ht="13.8"/>
    <row r="4590" s="21" customFormat="1" ht="13.8"/>
    <row r="4591" s="21" customFormat="1" ht="13.8"/>
    <row r="4592" s="21" customFormat="1" ht="13.8"/>
    <row r="4593" s="21" customFormat="1" ht="13.8"/>
    <row r="4594" s="21" customFormat="1" ht="13.8"/>
    <row r="4595" s="21" customFormat="1" ht="13.8"/>
    <row r="4596" s="21" customFormat="1" ht="13.8"/>
    <row r="4597" s="21" customFormat="1" ht="13.8"/>
    <row r="4598" s="21" customFormat="1" ht="13.8"/>
    <row r="4599" s="21" customFormat="1" ht="13.8"/>
    <row r="4600" s="21" customFormat="1" ht="13.8"/>
    <row r="4601" s="21" customFormat="1" ht="13.8"/>
    <row r="4602" s="21" customFormat="1" ht="13.8"/>
    <row r="4603" s="21" customFormat="1" ht="13.8"/>
    <row r="4604" s="21" customFormat="1" ht="13.8"/>
    <row r="4605" s="21" customFormat="1" ht="13.8"/>
    <row r="4606" s="21" customFormat="1" ht="13.8"/>
    <row r="4607" s="21" customFormat="1" ht="13.8"/>
    <row r="4608" s="21" customFormat="1" ht="13.8"/>
    <row r="4609" s="21" customFormat="1" ht="13.8"/>
    <row r="4610" s="21" customFormat="1" ht="13.8"/>
    <row r="4611" s="21" customFormat="1" ht="13.8"/>
    <row r="4612" s="21" customFormat="1" ht="13.8"/>
    <row r="4613" s="21" customFormat="1" ht="13.8"/>
    <row r="4614" s="21" customFormat="1" ht="13.8"/>
    <row r="4615" s="21" customFormat="1" ht="13.8"/>
    <row r="4616" s="21" customFormat="1" ht="13.8"/>
    <row r="4617" s="21" customFormat="1" ht="13.8"/>
    <row r="4618" s="21" customFormat="1" ht="13.8"/>
    <row r="4619" s="21" customFormat="1" ht="13.8"/>
    <row r="4620" s="21" customFormat="1" ht="13.8"/>
    <row r="4621" s="21" customFormat="1" ht="13.8"/>
    <row r="4622" s="21" customFormat="1" ht="13.8"/>
    <row r="4623" s="21" customFormat="1" ht="13.8"/>
    <row r="4624" s="21" customFormat="1" ht="13.8"/>
    <row r="4625" s="21" customFormat="1" ht="13.8"/>
    <row r="4626" s="21" customFormat="1" ht="13.8"/>
    <row r="4627" s="21" customFormat="1" ht="13.8"/>
    <row r="4628" s="21" customFormat="1" ht="13.8"/>
    <row r="4629" s="21" customFormat="1" ht="13.8"/>
    <row r="4630" s="21" customFormat="1" ht="13.8"/>
    <row r="4631" s="21" customFormat="1" ht="13.8"/>
    <row r="4632" s="21" customFormat="1" ht="13.8"/>
    <row r="4633" s="21" customFormat="1" ht="13.8"/>
    <row r="4634" s="21" customFormat="1" ht="13.8"/>
    <row r="4635" s="21" customFormat="1" ht="13.8"/>
    <row r="4636" s="21" customFormat="1" ht="13.8"/>
    <row r="4637" s="21" customFormat="1" ht="13.8"/>
    <row r="4638" s="21" customFormat="1" ht="13.8"/>
    <row r="4639" s="21" customFormat="1" ht="13.8"/>
    <row r="4640" s="21" customFormat="1" ht="13.8"/>
    <row r="4641" s="21" customFormat="1" ht="13.8"/>
    <row r="4642" s="21" customFormat="1" ht="13.8"/>
    <row r="4643" s="21" customFormat="1" ht="13.8"/>
    <row r="4644" s="21" customFormat="1" ht="13.8"/>
    <row r="4645" s="21" customFormat="1" ht="13.8"/>
    <row r="4646" s="21" customFormat="1" ht="13.8"/>
    <row r="4647" s="21" customFormat="1" ht="13.8"/>
    <row r="4648" s="21" customFormat="1" ht="13.8"/>
    <row r="4649" s="21" customFormat="1" ht="13.8"/>
    <row r="4650" s="21" customFormat="1" ht="13.8"/>
    <row r="4651" s="21" customFormat="1" ht="13.8"/>
    <row r="4652" s="21" customFormat="1" ht="13.8"/>
    <row r="4653" s="21" customFormat="1" ht="13.8"/>
    <row r="4654" s="21" customFormat="1" ht="13.8"/>
    <row r="4655" s="21" customFormat="1" ht="13.8"/>
    <row r="4656" s="21" customFormat="1" ht="13.8"/>
    <row r="4657" s="21" customFormat="1" ht="13.8"/>
    <row r="4658" s="21" customFormat="1" ht="13.8"/>
    <row r="4659" s="21" customFormat="1" ht="13.8"/>
    <row r="4660" s="21" customFormat="1" ht="13.8"/>
    <row r="4661" s="21" customFormat="1" ht="13.8"/>
    <row r="4662" s="21" customFormat="1" ht="13.8"/>
    <row r="4663" s="21" customFormat="1" ht="13.8"/>
    <row r="4664" s="21" customFormat="1" ht="13.8"/>
    <row r="4665" s="21" customFormat="1" ht="13.8"/>
    <row r="4666" s="21" customFormat="1" ht="13.8"/>
    <row r="4667" s="21" customFormat="1" ht="13.8"/>
    <row r="4668" s="21" customFormat="1" ht="13.8"/>
    <row r="4669" s="21" customFormat="1" ht="13.8"/>
    <row r="4670" s="21" customFormat="1" ht="13.8"/>
    <row r="4671" s="21" customFormat="1" ht="13.8"/>
    <row r="4672" s="21" customFormat="1" ht="13.8"/>
    <row r="4673" s="21" customFormat="1" ht="13.8"/>
    <row r="4674" s="21" customFormat="1" ht="13.8"/>
    <row r="4675" s="21" customFormat="1" ht="13.8"/>
    <row r="4676" s="21" customFormat="1" ht="13.8"/>
    <row r="4677" s="21" customFormat="1" ht="13.8"/>
    <row r="4678" s="21" customFormat="1" ht="13.8"/>
    <row r="4679" s="21" customFormat="1" ht="13.8"/>
    <row r="4680" s="21" customFormat="1" ht="13.8"/>
    <row r="4681" s="21" customFormat="1" ht="13.8"/>
    <row r="4682" s="21" customFormat="1" ht="13.8"/>
    <row r="4683" s="21" customFormat="1" ht="13.8"/>
    <row r="4684" s="21" customFormat="1" ht="13.8"/>
    <row r="4685" s="21" customFormat="1" ht="13.8"/>
    <row r="4686" s="21" customFormat="1" ht="13.8"/>
    <row r="4687" s="21" customFormat="1" ht="13.8"/>
    <row r="4688" s="21" customFormat="1" ht="13.8"/>
    <row r="4689" s="21" customFormat="1" ht="13.8"/>
    <row r="4690" s="21" customFormat="1" ht="13.8"/>
    <row r="4691" s="21" customFormat="1" ht="13.8"/>
    <row r="4692" s="21" customFormat="1" ht="13.8"/>
    <row r="4693" s="21" customFormat="1" ht="13.8"/>
    <row r="4694" s="21" customFormat="1" ht="13.8"/>
    <row r="4695" s="21" customFormat="1" ht="13.8"/>
    <row r="4696" s="21" customFormat="1" ht="13.8"/>
    <row r="4697" s="21" customFormat="1" ht="13.8"/>
    <row r="4698" s="21" customFormat="1" ht="13.8"/>
    <row r="4699" s="21" customFormat="1" ht="13.8"/>
    <row r="4700" s="21" customFormat="1" ht="13.8"/>
    <row r="4701" s="21" customFormat="1" ht="13.8"/>
    <row r="4702" s="21" customFormat="1" ht="13.8"/>
    <row r="4703" s="21" customFormat="1" ht="13.8"/>
    <row r="4704" s="21" customFormat="1" ht="13.8"/>
    <row r="4705" s="21" customFormat="1" ht="13.8"/>
    <row r="4706" s="21" customFormat="1" ht="13.8"/>
    <row r="4707" s="21" customFormat="1" ht="13.8"/>
    <row r="4708" s="21" customFormat="1" ht="13.8"/>
    <row r="4709" s="21" customFormat="1" ht="13.8"/>
    <row r="4710" s="21" customFormat="1" ht="13.8"/>
    <row r="4711" s="21" customFormat="1" ht="13.8"/>
    <row r="4712" s="21" customFormat="1" ht="13.8"/>
    <row r="4713" s="21" customFormat="1" ht="13.8"/>
    <row r="4714" s="21" customFormat="1" ht="13.8"/>
    <row r="4715" s="21" customFormat="1" ht="13.8"/>
    <row r="4716" s="21" customFormat="1" ht="13.8"/>
    <row r="4717" s="21" customFormat="1" ht="13.8"/>
    <row r="4718" s="21" customFormat="1" ht="13.8"/>
    <row r="4719" s="21" customFormat="1" ht="13.8"/>
    <row r="4720" s="21" customFormat="1" ht="13.8"/>
    <row r="4721" s="21" customFormat="1" ht="13.8"/>
    <row r="4722" s="21" customFormat="1" ht="13.8"/>
    <row r="4723" s="21" customFormat="1" ht="13.8"/>
    <row r="4724" s="21" customFormat="1" ht="13.8"/>
    <row r="4725" s="21" customFormat="1" ht="13.8"/>
    <row r="4726" s="21" customFormat="1" ht="13.8"/>
    <row r="4727" s="21" customFormat="1" ht="13.8"/>
    <row r="4728" s="21" customFormat="1" ht="13.8"/>
    <row r="4729" s="21" customFormat="1" ht="13.8"/>
    <row r="4730" s="21" customFormat="1" ht="13.8"/>
    <row r="4731" s="21" customFormat="1" ht="13.8"/>
    <row r="4732" s="21" customFormat="1" ht="13.8"/>
    <row r="4733" s="21" customFormat="1" ht="13.8"/>
    <row r="4734" s="21" customFormat="1" ht="13.8"/>
    <row r="4735" s="21" customFormat="1" ht="13.8"/>
    <row r="4736" s="21" customFormat="1" ht="13.8"/>
    <row r="4737" s="21" customFormat="1" ht="13.8"/>
    <row r="4738" s="21" customFormat="1" ht="13.8"/>
    <row r="4739" s="21" customFormat="1" ht="13.8"/>
    <row r="4740" s="21" customFormat="1" ht="13.8"/>
    <row r="4741" s="21" customFormat="1" ht="13.8"/>
    <row r="4742" s="21" customFormat="1" ht="13.8"/>
    <row r="4743" s="21" customFormat="1" ht="13.8"/>
    <row r="4744" s="21" customFormat="1" ht="13.8"/>
    <row r="4745" s="21" customFormat="1" ht="13.8"/>
    <row r="4746" s="21" customFormat="1" ht="13.8"/>
    <row r="4747" s="21" customFormat="1" ht="13.8"/>
    <row r="4748" s="21" customFormat="1" ht="13.8"/>
    <row r="4749" s="21" customFormat="1" ht="13.8"/>
    <row r="4750" s="21" customFormat="1" ht="13.8"/>
    <row r="4751" s="21" customFormat="1" ht="13.8"/>
    <row r="4752" s="21" customFormat="1" ht="13.8"/>
    <row r="4753" s="21" customFormat="1" ht="13.8"/>
    <row r="4754" s="21" customFormat="1" ht="13.8"/>
    <row r="4755" s="21" customFormat="1" ht="13.8"/>
    <row r="4756" s="21" customFormat="1" ht="13.8"/>
    <row r="4757" s="21" customFormat="1" ht="13.8"/>
    <row r="4758" s="21" customFormat="1" ht="13.8"/>
    <row r="4759" s="21" customFormat="1" ht="13.8"/>
    <row r="4760" s="21" customFormat="1" ht="13.8"/>
    <row r="4761" s="21" customFormat="1" ht="13.8"/>
    <row r="4762" s="21" customFormat="1" ht="13.8"/>
    <row r="4763" s="21" customFormat="1" ht="13.8"/>
    <row r="4764" s="21" customFormat="1" ht="13.8"/>
    <row r="4765" s="21" customFormat="1" ht="13.8"/>
    <row r="4766" s="21" customFormat="1" ht="13.8"/>
    <row r="4767" s="21" customFormat="1" ht="13.8"/>
    <row r="4768" s="21" customFormat="1" ht="13.8"/>
    <row r="4769" s="21" customFormat="1" ht="13.8"/>
    <row r="4770" s="21" customFormat="1" ht="13.8"/>
    <row r="4771" s="21" customFormat="1" ht="13.8"/>
    <row r="4772" s="21" customFormat="1" ht="13.8"/>
    <row r="4773" s="21" customFormat="1" ht="13.8"/>
    <row r="4774" s="21" customFormat="1" ht="13.8"/>
    <row r="4775" s="21" customFormat="1" ht="13.8"/>
    <row r="4776" s="21" customFormat="1" ht="13.8"/>
    <row r="4777" s="21" customFormat="1" ht="13.8"/>
    <row r="4778" s="21" customFormat="1" ht="13.8"/>
    <row r="4779" s="21" customFormat="1" ht="13.8"/>
    <row r="4780" s="21" customFormat="1" ht="13.8"/>
    <row r="4781" s="21" customFormat="1" ht="13.8"/>
    <row r="4782" s="21" customFormat="1" ht="13.8"/>
    <row r="4783" s="21" customFormat="1" ht="13.8"/>
    <row r="4784" s="21" customFormat="1" ht="13.8"/>
    <row r="4785" s="21" customFormat="1" ht="13.8"/>
    <row r="4786" s="21" customFormat="1" ht="13.8"/>
    <row r="4787" s="21" customFormat="1" ht="13.8"/>
    <row r="4788" s="21" customFormat="1" ht="13.8"/>
    <row r="4789" s="21" customFormat="1" ht="13.8"/>
    <row r="4790" s="21" customFormat="1" ht="13.8"/>
    <row r="4791" s="21" customFormat="1" ht="13.8"/>
    <row r="4792" s="21" customFormat="1" ht="13.8"/>
    <row r="4793" s="21" customFormat="1" ht="13.8"/>
    <row r="4794" s="21" customFormat="1" ht="13.8"/>
    <row r="4795" s="21" customFormat="1" ht="13.8"/>
    <row r="4796" s="21" customFormat="1" ht="13.8"/>
    <row r="4797" s="21" customFormat="1" ht="13.8"/>
    <row r="4798" s="21" customFormat="1" ht="13.8"/>
    <row r="4799" s="21" customFormat="1" ht="13.8"/>
    <row r="4800" s="21" customFormat="1" ht="13.8"/>
    <row r="4801" s="21" customFormat="1" ht="13.8"/>
    <row r="4802" s="21" customFormat="1" ht="13.8"/>
    <row r="4803" s="21" customFormat="1" ht="13.8"/>
    <row r="4804" s="21" customFormat="1" ht="13.8"/>
    <row r="4805" s="21" customFormat="1" ht="13.8"/>
    <row r="4806" s="21" customFormat="1" ht="13.8"/>
    <row r="4807" s="21" customFormat="1" ht="13.8"/>
    <row r="4808" s="21" customFormat="1" ht="13.8"/>
    <row r="4809" s="21" customFormat="1" ht="13.8"/>
    <row r="4810" s="21" customFormat="1" ht="13.8"/>
    <row r="4811" s="21" customFormat="1" ht="13.8"/>
    <row r="4812" s="21" customFormat="1" ht="13.8"/>
    <row r="4813" s="21" customFormat="1" ht="13.8"/>
    <row r="4814" s="21" customFormat="1" ht="13.8"/>
    <row r="4815" s="21" customFormat="1" ht="13.8"/>
    <row r="4816" s="21" customFormat="1" ht="13.8"/>
    <row r="4817" s="21" customFormat="1" ht="13.8"/>
    <row r="4818" s="21" customFormat="1" ht="13.8"/>
    <row r="4819" s="21" customFormat="1" ht="13.8"/>
    <row r="4820" s="21" customFormat="1" ht="13.8"/>
    <row r="4821" s="21" customFormat="1" ht="13.8"/>
    <row r="4822" s="21" customFormat="1" ht="13.8"/>
    <row r="4823" s="21" customFormat="1" ht="13.8"/>
    <row r="4824" s="21" customFormat="1" ht="13.8"/>
    <row r="4825" s="21" customFormat="1" ht="13.8"/>
    <row r="4826" s="21" customFormat="1" ht="13.8"/>
    <row r="4827" s="21" customFormat="1" ht="13.8"/>
    <row r="4828" s="21" customFormat="1" ht="13.8"/>
    <row r="4829" s="21" customFormat="1" ht="13.8"/>
    <row r="4830" s="21" customFormat="1" ht="13.8"/>
    <row r="4831" s="21" customFormat="1" ht="13.8"/>
    <row r="4832" s="21" customFormat="1" ht="13.8"/>
    <row r="4833" s="21" customFormat="1" ht="13.8"/>
    <row r="4834" s="21" customFormat="1" ht="13.8"/>
    <row r="4835" s="21" customFormat="1" ht="13.8"/>
    <row r="4836" s="21" customFormat="1" ht="13.8"/>
    <row r="4837" s="21" customFormat="1" ht="13.8"/>
    <row r="4838" s="21" customFormat="1" ht="13.8"/>
    <row r="4839" s="21" customFormat="1" ht="13.8"/>
    <row r="4840" s="21" customFormat="1" ht="13.8"/>
    <row r="4841" s="21" customFormat="1" ht="13.8"/>
    <row r="4842" s="21" customFormat="1" ht="13.8"/>
    <row r="4843" s="21" customFormat="1" ht="13.8"/>
    <row r="4844" s="21" customFormat="1" ht="13.8"/>
    <row r="4845" s="21" customFormat="1" ht="13.8"/>
    <row r="4846" s="21" customFormat="1" ht="13.8"/>
    <row r="4847" s="21" customFormat="1" ht="13.8"/>
    <row r="4848" s="21" customFormat="1" ht="13.8"/>
    <row r="4849" s="21" customFormat="1" ht="13.8"/>
    <row r="4850" s="21" customFormat="1" ht="13.8"/>
    <row r="4851" s="21" customFormat="1" ht="13.8"/>
    <row r="4852" s="21" customFormat="1" ht="13.8"/>
    <row r="4853" s="21" customFormat="1" ht="13.8"/>
    <row r="4854" s="21" customFormat="1" ht="13.8"/>
    <row r="4855" s="21" customFormat="1" ht="13.8"/>
    <row r="4856" s="21" customFormat="1" ht="13.8"/>
    <row r="4857" s="21" customFormat="1" ht="13.8"/>
    <row r="4858" s="21" customFormat="1" ht="13.8"/>
    <row r="4859" s="21" customFormat="1" ht="13.8"/>
    <row r="4860" s="21" customFormat="1" ht="13.8"/>
    <row r="4861" s="21" customFormat="1" ht="13.8"/>
    <row r="4862" s="21" customFormat="1" ht="13.8"/>
    <row r="4863" s="21" customFormat="1" ht="13.8"/>
    <row r="4864" s="21" customFormat="1" ht="13.8"/>
    <row r="4865" s="21" customFormat="1" ht="13.8"/>
    <row r="4866" s="21" customFormat="1" ht="13.8"/>
    <row r="4867" s="21" customFormat="1" ht="13.8"/>
    <row r="4868" s="21" customFormat="1" ht="13.8"/>
    <row r="4869" s="21" customFormat="1" ht="13.8"/>
    <row r="4870" s="21" customFormat="1" ht="13.8"/>
    <row r="4871" s="21" customFormat="1" ht="13.8"/>
    <row r="4872" s="21" customFormat="1" ht="13.8"/>
    <row r="4873" s="21" customFormat="1" ht="13.8"/>
    <row r="4874" s="21" customFormat="1" ht="13.8"/>
    <row r="4875" s="21" customFormat="1" ht="13.8"/>
    <row r="4876" s="21" customFormat="1" ht="13.8"/>
    <row r="4877" s="21" customFormat="1" ht="13.8"/>
    <row r="4878" s="21" customFormat="1" ht="13.8"/>
    <row r="4879" s="21" customFormat="1" ht="13.8"/>
    <row r="4880" s="21" customFormat="1" ht="13.8"/>
    <row r="4881" s="21" customFormat="1" ht="13.8"/>
    <row r="4882" s="21" customFormat="1" ht="13.8"/>
    <row r="4883" s="21" customFormat="1" ht="13.8"/>
    <row r="4884" s="21" customFormat="1" ht="13.8"/>
    <row r="4885" s="21" customFormat="1" ht="13.8"/>
    <row r="4886" s="21" customFormat="1" ht="13.8"/>
    <row r="4887" s="21" customFormat="1" ht="13.8"/>
    <row r="4888" s="21" customFormat="1" ht="13.8"/>
    <row r="4889" s="21" customFormat="1" ht="13.8"/>
    <row r="4890" s="21" customFormat="1" ht="13.8"/>
    <row r="4891" s="21" customFormat="1" ht="13.8"/>
    <row r="4892" s="21" customFormat="1" ht="13.8"/>
    <row r="4893" s="21" customFormat="1" ht="13.8"/>
    <row r="4894" s="21" customFormat="1" ht="13.8"/>
    <row r="4895" s="21" customFormat="1" ht="13.8"/>
    <row r="4896" s="21" customFormat="1" ht="13.8"/>
    <row r="4897" s="21" customFormat="1" ht="13.8"/>
    <row r="4898" s="21" customFormat="1" ht="13.8"/>
    <row r="4899" s="21" customFormat="1" ht="13.8"/>
    <row r="4900" s="21" customFormat="1" ht="13.8"/>
    <row r="4901" s="21" customFormat="1" ht="13.8"/>
    <row r="4902" s="21" customFormat="1" ht="13.8"/>
    <row r="4903" s="21" customFormat="1" ht="13.8"/>
    <row r="4904" s="21" customFormat="1" ht="13.8"/>
    <row r="4905" s="21" customFormat="1" ht="13.8"/>
    <row r="4906" s="21" customFormat="1" ht="13.8"/>
    <row r="4907" s="21" customFormat="1" ht="13.8"/>
    <row r="4908" s="21" customFormat="1" ht="13.8"/>
    <row r="4909" s="21" customFormat="1" ht="13.8"/>
    <row r="4910" s="21" customFormat="1" ht="13.8"/>
    <row r="4911" s="21" customFormat="1" ht="13.8"/>
    <row r="4912" s="21" customFormat="1" ht="13.8"/>
    <row r="4913" s="21" customFormat="1" ht="13.8"/>
    <row r="4914" s="21" customFormat="1" ht="13.8"/>
    <row r="4915" s="21" customFormat="1" ht="13.8"/>
    <row r="4916" s="21" customFormat="1" ht="13.8"/>
    <row r="4917" s="21" customFormat="1" ht="13.8"/>
    <row r="4918" s="21" customFormat="1" ht="13.8"/>
    <row r="4919" s="21" customFormat="1" ht="13.8"/>
    <row r="4920" s="21" customFormat="1" ht="13.8"/>
    <row r="4921" s="21" customFormat="1" ht="13.8"/>
    <row r="4922" s="21" customFormat="1" ht="13.8"/>
    <row r="4923" s="21" customFormat="1" ht="13.8"/>
    <row r="4924" s="21" customFormat="1" ht="13.8"/>
    <row r="4925" s="21" customFormat="1" ht="13.8"/>
    <row r="4926" s="21" customFormat="1" ht="13.8"/>
    <row r="4927" s="21" customFormat="1" ht="13.8"/>
    <row r="4928" s="21" customFormat="1" ht="13.8"/>
    <row r="4929" s="21" customFormat="1" ht="13.8"/>
    <row r="4930" s="21" customFormat="1" ht="13.8"/>
    <row r="4931" s="21" customFormat="1" ht="13.8"/>
    <row r="4932" s="21" customFormat="1" ht="13.8"/>
    <row r="4933" s="21" customFormat="1" ht="13.8"/>
    <row r="4934" s="21" customFormat="1" ht="13.8"/>
    <row r="4935" s="21" customFormat="1" ht="13.8"/>
    <row r="4936" s="21" customFormat="1" ht="13.8"/>
    <row r="4937" s="21" customFormat="1" ht="13.8"/>
    <row r="4938" s="21" customFormat="1" ht="13.8"/>
    <row r="4939" s="21" customFormat="1" ht="13.8"/>
    <row r="4940" s="21" customFormat="1" ht="13.8"/>
    <row r="4941" s="21" customFormat="1" ht="13.8"/>
    <row r="4942" s="21" customFormat="1" ht="13.8"/>
    <row r="4943" s="21" customFormat="1" ht="13.8"/>
    <row r="4944" s="21" customFormat="1" ht="13.8"/>
    <row r="4945" s="21" customFormat="1" ht="13.8"/>
    <row r="4946" s="21" customFormat="1" ht="13.8"/>
    <row r="4947" s="21" customFormat="1" ht="13.8"/>
    <row r="4948" s="21" customFormat="1" ht="13.8"/>
    <row r="4949" s="21" customFormat="1" ht="13.8"/>
    <row r="4950" s="21" customFormat="1" ht="13.8"/>
    <row r="4951" s="21" customFormat="1" ht="13.8"/>
    <row r="4952" s="21" customFormat="1" ht="13.8"/>
    <row r="4953" s="21" customFormat="1" ht="13.8"/>
    <row r="4954" s="21" customFormat="1" ht="13.8"/>
    <row r="4955" s="21" customFormat="1" ht="13.8"/>
    <row r="4956" s="21" customFormat="1" ht="13.8"/>
    <row r="4957" s="21" customFormat="1" ht="13.8"/>
    <row r="4958" s="21" customFormat="1" ht="13.8"/>
    <row r="4959" s="21" customFormat="1" ht="13.8"/>
    <row r="4960" s="21" customFormat="1" ht="13.8"/>
    <row r="4961" s="21" customFormat="1" ht="13.8"/>
    <row r="4962" s="21" customFormat="1" ht="13.8"/>
    <row r="4963" s="21" customFormat="1" ht="13.8"/>
    <row r="4964" s="21" customFormat="1" ht="13.8"/>
    <row r="4965" s="21" customFormat="1" ht="13.8"/>
    <row r="4966" s="21" customFormat="1" ht="13.8"/>
    <row r="4967" s="21" customFormat="1" ht="13.8"/>
    <row r="4968" s="21" customFormat="1" ht="13.8"/>
    <row r="4969" s="21" customFormat="1" ht="13.8"/>
    <row r="4970" s="21" customFormat="1" ht="13.8"/>
    <row r="4971" s="21" customFormat="1" ht="13.8"/>
    <row r="4972" s="21" customFormat="1" ht="13.8"/>
    <row r="4973" s="21" customFormat="1" ht="13.8"/>
    <row r="4974" s="21" customFormat="1" ht="13.8"/>
    <row r="4975" s="21" customFormat="1" ht="13.8"/>
    <row r="4976" s="21" customFormat="1" ht="13.8"/>
    <row r="4977" s="21" customFormat="1" ht="13.8"/>
    <row r="4978" s="21" customFormat="1" ht="13.8"/>
    <row r="4979" s="21" customFormat="1" ht="13.8"/>
    <row r="4980" s="21" customFormat="1" ht="13.8"/>
    <row r="4981" s="21" customFormat="1" ht="13.8"/>
    <row r="4982" s="21" customFormat="1" ht="13.8"/>
    <row r="4983" s="21" customFormat="1" ht="13.8"/>
    <row r="4984" s="21" customFormat="1" ht="13.8"/>
    <row r="4985" s="21" customFormat="1" ht="13.8"/>
    <row r="4986" s="21" customFormat="1" ht="13.8"/>
    <row r="4987" s="21" customFormat="1" ht="13.8"/>
    <row r="4988" s="21" customFormat="1" ht="13.8"/>
    <row r="4989" s="21" customFormat="1" ht="13.8"/>
    <row r="4990" s="21" customFormat="1" ht="13.8"/>
    <row r="4991" s="21" customFormat="1" ht="13.8"/>
    <row r="4992" s="21" customFormat="1" ht="13.8"/>
    <row r="4993" s="21" customFormat="1" ht="13.8"/>
    <row r="4994" s="21" customFormat="1" ht="13.8"/>
    <row r="4995" s="21" customFormat="1" ht="13.8"/>
    <row r="4996" s="21" customFormat="1" ht="13.8"/>
    <row r="4997" s="21" customFormat="1" ht="13.8"/>
    <row r="4998" s="21" customFormat="1" ht="13.8"/>
    <row r="4999" s="21" customFormat="1" ht="13.8"/>
  </sheetData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"/>
  <sheetViews>
    <sheetView zoomScale="90" zoomScaleNormal="90" workbookViewId="0">
      <selection activeCell="H23" sqref="H23"/>
    </sheetView>
  </sheetViews>
  <sheetFormatPr defaultRowHeight="13.8"/>
  <cols>
    <col min="1" max="1" width="7.8984375" bestFit="1" customWidth="1"/>
    <col min="2" max="19" width="8.5" bestFit="1" customWidth="1"/>
  </cols>
  <sheetData>
    <row r="1" spans="1:19">
      <c r="A1" t="s">
        <v>1132</v>
      </c>
      <c r="B1" t="s">
        <v>1181</v>
      </c>
      <c r="C1" t="s">
        <v>1182</v>
      </c>
      <c r="D1" t="s">
        <v>1183</v>
      </c>
      <c r="E1" t="s">
        <v>1184</v>
      </c>
      <c r="F1" t="s">
        <v>1185</v>
      </c>
      <c r="G1" t="s">
        <v>1186</v>
      </c>
      <c r="H1" t="s">
        <v>1187</v>
      </c>
      <c r="I1" t="s">
        <v>1188</v>
      </c>
      <c r="J1" t="s">
        <v>1189</v>
      </c>
      <c r="K1" t="s">
        <v>1190</v>
      </c>
      <c r="L1" t="s">
        <v>1191</v>
      </c>
      <c r="M1" t="s">
        <v>1192</v>
      </c>
      <c r="N1" t="s">
        <v>1193</v>
      </c>
      <c r="O1" t="s">
        <v>1194</v>
      </c>
      <c r="P1" t="s">
        <v>150</v>
      </c>
      <c r="Q1" t="s">
        <v>1195</v>
      </c>
      <c r="R1" t="s">
        <v>1196</v>
      </c>
      <c r="S1" t="s">
        <v>1197</v>
      </c>
    </row>
    <row r="2" spans="1:19">
      <c r="A2" t="s">
        <v>1134</v>
      </c>
      <c r="B2" t="s">
        <v>1135</v>
      </c>
      <c r="C2" t="s">
        <v>1139</v>
      </c>
      <c r="D2" t="s">
        <v>1142</v>
      </c>
    </row>
    <row r="3" spans="1:19">
      <c r="A3" t="s">
        <v>1136</v>
      </c>
      <c r="E3" t="s">
        <v>1137</v>
      </c>
      <c r="F3" t="s">
        <v>1139</v>
      </c>
      <c r="G3" t="s">
        <v>1135</v>
      </c>
      <c r="H3" t="s">
        <v>1142</v>
      </c>
    </row>
    <row r="4" spans="1:19">
      <c r="A4" t="s">
        <v>1138</v>
      </c>
      <c r="I4" t="s">
        <v>1139</v>
      </c>
      <c r="J4" t="s">
        <v>1135</v>
      </c>
      <c r="K4" t="s">
        <v>1137</v>
      </c>
    </row>
    <row r="5" spans="1:19">
      <c r="A5" t="s">
        <v>1140</v>
      </c>
      <c r="L5" t="s">
        <v>1135</v>
      </c>
      <c r="M5" t="s">
        <v>1139</v>
      </c>
      <c r="N5" t="s">
        <v>1142</v>
      </c>
    </row>
    <row r="6" spans="1:19">
      <c r="A6" t="s">
        <v>1141</v>
      </c>
      <c r="O6" t="s">
        <v>1142</v>
      </c>
      <c r="P6" t="s">
        <v>1139</v>
      </c>
    </row>
    <row r="7" spans="1:19">
      <c r="A7" t="s">
        <v>1143</v>
      </c>
      <c r="Q7" t="s">
        <v>1135</v>
      </c>
      <c r="R7" t="s">
        <v>1137</v>
      </c>
    </row>
    <row r="8" spans="1:19">
      <c r="A8" t="s">
        <v>1144</v>
      </c>
      <c r="S8" t="s">
        <v>1137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H10"/>
  <sheetViews>
    <sheetView workbookViewId="0">
      <selection activeCell="I15" sqref="I15"/>
    </sheetView>
  </sheetViews>
  <sheetFormatPr defaultColWidth="7.59765625" defaultRowHeight="14.4"/>
  <cols>
    <col min="1" max="1" width="8.59765625" style="23" customWidth="1"/>
    <col min="2" max="4" width="7.59765625" style="23" customWidth="1"/>
    <col min="5" max="5" width="8.3984375" style="23" bestFit="1" customWidth="1"/>
    <col min="6" max="6" width="8.8984375" style="23" customWidth="1"/>
    <col min="7" max="7" width="7.59765625" style="23" customWidth="1"/>
    <col min="8" max="16384" width="7.59765625" style="23"/>
  </cols>
  <sheetData>
    <row r="1" spans="1:8" ht="27.6">
      <c r="A1" s="10" t="s">
        <v>1145</v>
      </c>
      <c r="B1" s="10" t="s">
        <v>1146</v>
      </c>
      <c r="C1" s="10" t="s">
        <v>1147</v>
      </c>
      <c r="D1" s="10" t="s">
        <v>1148</v>
      </c>
      <c r="E1" s="10" t="s">
        <v>1149</v>
      </c>
      <c r="F1" s="10" t="s">
        <v>1150</v>
      </c>
    </row>
    <row r="2" spans="1:8" ht="13.8">
      <c r="A2" s="23" t="s">
        <v>1151</v>
      </c>
      <c r="B2" s="24">
        <v>0.33333333333333331</v>
      </c>
      <c r="C2" s="24">
        <v>0.66666666666666663</v>
      </c>
      <c r="D2" s="23">
        <v>39</v>
      </c>
      <c r="E2" s="23">
        <f>MOD(C2-B2,1)*24</f>
        <v>8</v>
      </c>
      <c r="F2" s="23">
        <f>E2*D2</f>
        <v>312</v>
      </c>
      <c r="G2" s="24"/>
      <c r="H2" s="25"/>
    </row>
    <row r="3" spans="1:8" ht="13.8">
      <c r="A3" s="23" t="s">
        <v>1152</v>
      </c>
      <c r="B3" s="24">
        <v>0.66666666666666663</v>
      </c>
      <c r="C3" s="24">
        <v>0.16666666666666666</v>
      </c>
      <c r="D3" s="23">
        <v>31</v>
      </c>
      <c r="E3" s="23">
        <f t="shared" ref="E3:E10" si="0">MOD(C3-B3,1)*24</f>
        <v>12</v>
      </c>
      <c r="F3" s="23">
        <f t="shared" ref="F3:F10" si="1">E3*D3</f>
        <v>372</v>
      </c>
      <c r="G3" s="24"/>
      <c r="H3" s="25"/>
    </row>
    <row r="4" spans="1:8" ht="13.8">
      <c r="A4" s="23" t="s">
        <v>1153</v>
      </c>
      <c r="B4" s="24">
        <v>0.66666666666666663</v>
      </c>
      <c r="C4" s="24">
        <v>0.16666666666666666</v>
      </c>
      <c r="D4" s="23">
        <v>40</v>
      </c>
      <c r="E4" s="23">
        <f t="shared" si="0"/>
        <v>12</v>
      </c>
      <c r="F4" s="23">
        <f t="shared" si="1"/>
        <v>480</v>
      </c>
      <c r="G4" s="24"/>
      <c r="H4" s="25"/>
    </row>
    <row r="5" spans="1:8" ht="13.8">
      <c r="A5" s="23" t="s">
        <v>1154</v>
      </c>
      <c r="B5" s="24">
        <v>0.16666666666666666</v>
      </c>
      <c r="C5" s="24">
        <v>0.66666666666666663</v>
      </c>
      <c r="D5" s="23">
        <v>36</v>
      </c>
      <c r="E5" s="23">
        <f t="shared" si="0"/>
        <v>12</v>
      </c>
      <c r="F5" s="23">
        <f t="shared" si="1"/>
        <v>432</v>
      </c>
      <c r="G5" s="24"/>
      <c r="H5" s="25"/>
    </row>
    <row r="6" spans="1:8" ht="13.8">
      <c r="A6" s="23" t="s">
        <v>1155</v>
      </c>
      <c r="B6" s="24">
        <v>0.16666666666666666</v>
      </c>
      <c r="C6" s="24">
        <v>0.66666666666666663</v>
      </c>
      <c r="D6" s="23">
        <v>30</v>
      </c>
      <c r="E6" s="23">
        <f t="shared" si="0"/>
        <v>12</v>
      </c>
      <c r="F6" s="23">
        <f t="shared" si="1"/>
        <v>360</v>
      </c>
      <c r="G6" s="24"/>
      <c r="H6" s="25"/>
    </row>
    <row r="7" spans="1:8" ht="13.8">
      <c r="A7" s="23" t="s">
        <v>1156</v>
      </c>
      <c r="B7" s="24">
        <v>0.16666666666666666</v>
      </c>
      <c r="C7" s="24">
        <v>0.66666666666666663</v>
      </c>
      <c r="D7" s="23">
        <v>42</v>
      </c>
      <c r="E7" s="23">
        <f t="shared" si="0"/>
        <v>12</v>
      </c>
      <c r="F7" s="23">
        <f t="shared" si="1"/>
        <v>504</v>
      </c>
      <c r="G7" s="24"/>
      <c r="H7" s="25"/>
    </row>
    <row r="8" spans="1:8" ht="13.8">
      <c r="A8" s="23" t="s">
        <v>1157</v>
      </c>
      <c r="B8" s="24">
        <v>0.66666666666666663</v>
      </c>
      <c r="C8" s="24">
        <v>0.16666666666666666</v>
      </c>
      <c r="D8" s="23">
        <v>43</v>
      </c>
      <c r="E8" s="23">
        <f t="shared" si="0"/>
        <v>12</v>
      </c>
      <c r="F8" s="23">
        <f t="shared" si="1"/>
        <v>516</v>
      </c>
      <c r="G8" s="24"/>
      <c r="H8" s="25"/>
    </row>
    <row r="9" spans="1:8" ht="13.8">
      <c r="A9" s="23" t="s">
        <v>1158</v>
      </c>
      <c r="B9" s="24">
        <v>0.16666666666666666</v>
      </c>
      <c r="C9" s="24">
        <v>0.66666666666666663</v>
      </c>
      <c r="D9" s="23">
        <v>37</v>
      </c>
      <c r="E9" s="23">
        <f t="shared" si="0"/>
        <v>12</v>
      </c>
      <c r="F9" s="23">
        <f t="shared" si="1"/>
        <v>444</v>
      </c>
      <c r="G9" s="24"/>
      <c r="H9" s="25"/>
    </row>
    <row r="10" spans="1:8" ht="13.8">
      <c r="A10" s="23" t="s">
        <v>1159</v>
      </c>
      <c r="B10" s="24">
        <v>0.16666666666666666</v>
      </c>
      <c r="C10" s="24">
        <v>0.66666666666666663</v>
      </c>
      <c r="D10" s="23">
        <v>34</v>
      </c>
      <c r="E10" s="23">
        <f t="shared" si="0"/>
        <v>12</v>
      </c>
      <c r="F10" s="23">
        <f t="shared" si="1"/>
        <v>408</v>
      </c>
      <c r="G10" s="24"/>
      <c r="H10" s="25"/>
    </row>
  </sheetData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AS82"/>
  <sheetViews>
    <sheetView workbookViewId="0">
      <selection activeCell="P7" sqref="P7"/>
    </sheetView>
  </sheetViews>
  <sheetFormatPr defaultColWidth="8" defaultRowHeight="14.4"/>
  <cols>
    <col min="1" max="1" width="8" customWidth="1"/>
  </cols>
  <sheetData>
    <row r="1" spans="1:45" ht="13.8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</row>
    <row r="2" spans="1:45" ht="13.8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</row>
    <row r="3" spans="1:45" ht="13.8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</row>
    <row r="4" spans="1:45" ht="13.8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</row>
    <row r="5" spans="1:45" ht="13.8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</row>
    <row r="6" spans="1:45" ht="13.8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</row>
    <row r="7" spans="1:45" ht="13.8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</row>
    <row r="8" spans="1:45" ht="13.8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</row>
    <row r="9" spans="1:45" ht="13.8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</row>
    <row r="10" spans="1:45" ht="13.8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</row>
    <row r="11" spans="1:45" ht="13.8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</row>
    <row r="12" spans="1:45" ht="13.8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</row>
    <row r="13" spans="1:45" ht="13.8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</row>
    <row r="14" spans="1:45" ht="13.8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</row>
    <row r="15" spans="1:45" ht="13.8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</row>
    <row r="16" spans="1:45" ht="13.8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</row>
    <row r="17" spans="1:45" ht="13.8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</row>
    <row r="18" spans="1:45" ht="13.8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</row>
    <row r="19" spans="1:45" ht="13.8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</row>
    <row r="20" spans="1:45" ht="13.8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</row>
    <row r="21" spans="1:45" ht="13.8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</row>
    <row r="22" spans="1:45" ht="13.8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</row>
    <row r="23" spans="1:45" ht="13.8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</row>
    <row r="24" spans="1:45" ht="13.8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</row>
    <row r="25" spans="1:45" ht="13.8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</row>
    <row r="26" spans="1:45" ht="13.8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</row>
    <row r="27" spans="1:45" ht="13.8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</row>
    <row r="28" spans="1:45" ht="13.8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</row>
    <row r="29" spans="1:45" ht="13.8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</row>
    <row r="30" spans="1:4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</row>
    <row r="31" spans="1:4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</row>
    <row r="32" spans="1:4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</row>
    <row r="33" spans="1:4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</row>
    <row r="34" spans="1:4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</row>
    <row r="35" spans="1:4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</row>
    <row r="36" spans="1:4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</row>
    <row r="37" spans="1:4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</row>
    <row r="38" spans="1:4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</row>
    <row r="39" spans="1:4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</row>
    <row r="40" spans="1:4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</row>
    <row r="41" spans="1:4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</row>
    <row r="42" spans="1:4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</row>
    <row r="43" spans="1:4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</row>
    <row r="44" spans="1:4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</row>
    <row r="45" spans="1:4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</row>
    <row r="46" spans="1:4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</row>
    <row r="47" spans="1:4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</row>
    <row r="48" spans="1:4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</row>
    <row r="49" spans="1:4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</row>
    <row r="50" spans="1:4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</row>
    <row r="51" spans="1:4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</row>
    <row r="52" spans="1:4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</row>
    <row r="53" spans="1:4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</row>
    <row r="54" spans="1:4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</row>
    <row r="55" spans="1:4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</row>
    <row r="56" spans="1:4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</row>
    <row r="57" spans="1:4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</row>
    <row r="58" spans="1:4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</row>
    <row r="59" spans="1:4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</row>
    <row r="60" spans="1:4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</row>
    <row r="61" spans="1:4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</row>
    <row r="62" spans="1:4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</row>
    <row r="63" spans="1:4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</row>
    <row r="64" spans="1:4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</row>
    <row r="65" spans="1:4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</row>
    <row r="66" spans="1:4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</row>
    <row r="67" spans="1:4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</row>
    <row r="68" spans="1:4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</row>
    <row r="69" spans="1:4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</row>
    <row r="70" spans="1:4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</row>
    <row r="71" spans="1:4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</row>
    <row r="72" spans="1:4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</row>
    <row r="73" spans="1:4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</row>
    <row r="74" spans="1:4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</row>
    <row r="75" spans="1:4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</row>
    <row r="76" spans="1:4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</row>
    <row r="77" spans="1:4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</row>
    <row r="78" spans="1:4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</row>
    <row r="79" spans="1:4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</row>
    <row r="80" spans="1:4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</row>
    <row r="81" spans="1:4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</row>
    <row r="82" spans="1:4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</row>
  </sheetData>
  <pageMargins left="0.70000000000000007" right="0.70000000000000007" top="0.75" bottom="0.75" header="0.30000000000000004" footer="0.30000000000000004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92BEA4-6D4D-4A69-B8AB-DE0B65245A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Nazwane zakresy</vt:lpstr>
      </vt:variant>
      <vt:variant>
        <vt:i4>2</vt:i4>
      </vt:variant>
    </vt:vector>
  </HeadingPairs>
  <TitlesOfParts>
    <vt:vector size="8" baseType="lpstr">
      <vt:lpstr>Wyzwania</vt:lpstr>
      <vt:lpstr>Dane_FV</vt:lpstr>
      <vt:lpstr>Problem</vt:lpstr>
      <vt:lpstr>Rozwiązanie</vt:lpstr>
      <vt:lpstr>Czas</vt:lpstr>
      <vt:lpstr>Instrukcja</vt:lpstr>
      <vt:lpstr>Wyzwania!Obszar_wydruku</vt:lpstr>
      <vt:lpstr>Wyzwania!Tytuły_wydruku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Michał Kowalczyk</dc:creator>
  <dc:description/>
  <cp:lastModifiedBy>Natalia Ostrowska</cp:lastModifiedBy>
  <dcterms:created xsi:type="dcterms:W3CDTF">2024-07-23T11:42:41Z</dcterms:created>
  <dcterms:modified xsi:type="dcterms:W3CDTF">2025-05-05T21:04:26Z</dcterms:modified>
</cp:coreProperties>
</file>